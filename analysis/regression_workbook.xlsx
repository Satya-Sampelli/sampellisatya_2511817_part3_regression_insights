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e\Downloads\"/>
    </mc:Choice>
  </mc:AlternateContent>
  <xr:revisionPtr revIDLastSave="0" documentId="8_{8CBA3F52-7D79-42A7-A155-F7E1E6DAA272}" xr6:coauthVersionLast="47" xr6:coauthVersionMax="47" xr10:uidLastSave="{00000000-0000-0000-0000-000000000000}"/>
  <bookViews>
    <workbookView xWindow="-110" yWindow="-110" windowWidth="19420" windowHeight="10300" activeTab="3" xr2:uid="{E75197D7-C7E6-41A4-A3DE-F39908DAC9AC}"/>
  </bookViews>
  <sheets>
    <sheet name="Original_Data" sheetId="1" r:id="rId1"/>
    <sheet name="Cleaned_Data" sheetId="2" r:id="rId2"/>
    <sheet name="Dummy Variables" sheetId="3" r:id="rId3"/>
    <sheet name="Multiple_Regression" sheetId="12" r:id="rId4"/>
    <sheet name="Simple_Reg_Footfall" sheetId="5" r:id="rId5"/>
    <sheet name="Simple_Reg_Marketing" sheetId="6" r:id="rId6"/>
  </sheets>
  <definedNames>
    <definedName name="_xlnm._FilterDatabase" localSheetId="1" hidden="1">Cleaned_Data!$A$1:$N$321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P3" i="3"/>
  <c r="Q3" i="3"/>
  <c r="R3" i="3"/>
  <c r="S3" i="3"/>
  <c r="T3" i="3"/>
  <c r="O4" i="3"/>
  <c r="P4" i="3"/>
  <c r="Q4" i="3"/>
  <c r="R4" i="3"/>
  <c r="S4" i="3"/>
  <c r="T4" i="3"/>
  <c r="O5" i="3"/>
  <c r="P5" i="3"/>
  <c r="Q5" i="3"/>
  <c r="R5" i="3"/>
  <c r="S5" i="3"/>
  <c r="T5" i="3"/>
  <c r="O6" i="3"/>
  <c r="P6" i="3"/>
  <c r="Q6" i="3"/>
  <c r="R6" i="3"/>
  <c r="S6" i="3"/>
  <c r="T6" i="3"/>
  <c r="O7" i="3"/>
  <c r="P7" i="3"/>
  <c r="Q7" i="3"/>
  <c r="R7" i="3"/>
  <c r="S7" i="3"/>
  <c r="T7" i="3"/>
  <c r="O8" i="3"/>
  <c r="P8" i="3"/>
  <c r="Q8" i="3"/>
  <c r="R8" i="3"/>
  <c r="S8" i="3"/>
  <c r="T8" i="3"/>
  <c r="O9" i="3"/>
  <c r="P9" i="3"/>
  <c r="Q9" i="3"/>
  <c r="R9" i="3"/>
  <c r="S9" i="3"/>
  <c r="T9" i="3"/>
  <c r="O10" i="3"/>
  <c r="P10" i="3"/>
  <c r="Q10" i="3"/>
  <c r="R10" i="3"/>
  <c r="S10" i="3"/>
  <c r="T10" i="3"/>
  <c r="O11" i="3"/>
  <c r="P11" i="3"/>
  <c r="Q11" i="3"/>
  <c r="R11" i="3"/>
  <c r="S11" i="3"/>
  <c r="T11" i="3"/>
  <c r="O12" i="3"/>
  <c r="P12" i="3"/>
  <c r="Q12" i="3"/>
  <c r="R12" i="3"/>
  <c r="S12" i="3"/>
  <c r="T12" i="3"/>
  <c r="O13" i="3"/>
  <c r="P13" i="3"/>
  <c r="Q13" i="3"/>
  <c r="R13" i="3"/>
  <c r="S13" i="3"/>
  <c r="T13" i="3"/>
  <c r="O14" i="3"/>
  <c r="P14" i="3"/>
  <c r="Q14" i="3"/>
  <c r="R14" i="3"/>
  <c r="S14" i="3"/>
  <c r="T14" i="3"/>
  <c r="O15" i="3"/>
  <c r="P15" i="3"/>
  <c r="Q15" i="3"/>
  <c r="R15" i="3"/>
  <c r="S15" i="3"/>
  <c r="T15" i="3"/>
  <c r="O16" i="3"/>
  <c r="P16" i="3"/>
  <c r="Q16" i="3"/>
  <c r="R16" i="3"/>
  <c r="S16" i="3"/>
  <c r="T16" i="3"/>
  <c r="O17" i="3"/>
  <c r="P17" i="3"/>
  <c r="Q17" i="3"/>
  <c r="R17" i="3"/>
  <c r="S17" i="3"/>
  <c r="T17" i="3"/>
  <c r="O18" i="3"/>
  <c r="P18" i="3"/>
  <c r="Q18" i="3"/>
  <c r="R18" i="3"/>
  <c r="S18" i="3"/>
  <c r="T18" i="3"/>
  <c r="O19" i="3"/>
  <c r="P19" i="3"/>
  <c r="Q19" i="3"/>
  <c r="R19" i="3"/>
  <c r="S19" i="3"/>
  <c r="T19" i="3"/>
  <c r="O20" i="3"/>
  <c r="P20" i="3"/>
  <c r="Q20" i="3"/>
  <c r="R20" i="3"/>
  <c r="S20" i="3"/>
  <c r="T20" i="3"/>
  <c r="O21" i="3"/>
  <c r="P21" i="3"/>
  <c r="Q21" i="3"/>
  <c r="R21" i="3"/>
  <c r="S21" i="3"/>
  <c r="T21" i="3"/>
  <c r="O22" i="3"/>
  <c r="P22" i="3"/>
  <c r="Q22" i="3"/>
  <c r="R22" i="3"/>
  <c r="S22" i="3"/>
  <c r="T22" i="3"/>
  <c r="O23" i="3"/>
  <c r="P23" i="3"/>
  <c r="Q23" i="3"/>
  <c r="R23" i="3"/>
  <c r="S23" i="3"/>
  <c r="T23" i="3"/>
  <c r="O24" i="3"/>
  <c r="P24" i="3"/>
  <c r="Q24" i="3"/>
  <c r="R24" i="3"/>
  <c r="S24" i="3"/>
  <c r="T24" i="3"/>
  <c r="O25" i="3"/>
  <c r="P25" i="3"/>
  <c r="Q25" i="3"/>
  <c r="R25" i="3"/>
  <c r="S25" i="3"/>
  <c r="T25" i="3"/>
  <c r="O26" i="3"/>
  <c r="P26" i="3"/>
  <c r="Q26" i="3"/>
  <c r="R26" i="3"/>
  <c r="S26" i="3"/>
  <c r="T26" i="3"/>
  <c r="O27" i="3"/>
  <c r="P27" i="3"/>
  <c r="Q27" i="3"/>
  <c r="R27" i="3"/>
  <c r="S27" i="3"/>
  <c r="T27" i="3"/>
  <c r="O28" i="3"/>
  <c r="P28" i="3"/>
  <c r="Q28" i="3"/>
  <c r="R28" i="3"/>
  <c r="S28" i="3"/>
  <c r="T28" i="3"/>
  <c r="O29" i="3"/>
  <c r="P29" i="3"/>
  <c r="Q29" i="3"/>
  <c r="R29" i="3"/>
  <c r="S29" i="3"/>
  <c r="T29" i="3"/>
  <c r="O30" i="3"/>
  <c r="P30" i="3"/>
  <c r="Q30" i="3"/>
  <c r="R30" i="3"/>
  <c r="S30" i="3"/>
  <c r="T30" i="3"/>
  <c r="O31" i="3"/>
  <c r="P31" i="3"/>
  <c r="Q31" i="3"/>
  <c r="R31" i="3"/>
  <c r="S31" i="3"/>
  <c r="T31" i="3"/>
  <c r="O32" i="3"/>
  <c r="P32" i="3"/>
  <c r="Q32" i="3"/>
  <c r="R32" i="3"/>
  <c r="S32" i="3"/>
  <c r="T32" i="3"/>
  <c r="O33" i="3"/>
  <c r="P33" i="3"/>
  <c r="Q33" i="3"/>
  <c r="R33" i="3"/>
  <c r="S33" i="3"/>
  <c r="T33" i="3"/>
  <c r="O34" i="3"/>
  <c r="P34" i="3"/>
  <c r="Q34" i="3"/>
  <c r="R34" i="3"/>
  <c r="S34" i="3"/>
  <c r="T34" i="3"/>
  <c r="O35" i="3"/>
  <c r="P35" i="3"/>
  <c r="Q35" i="3"/>
  <c r="R35" i="3"/>
  <c r="S35" i="3"/>
  <c r="T35" i="3"/>
  <c r="O36" i="3"/>
  <c r="P36" i="3"/>
  <c r="Q36" i="3"/>
  <c r="R36" i="3"/>
  <c r="S36" i="3"/>
  <c r="T36" i="3"/>
  <c r="O37" i="3"/>
  <c r="P37" i="3"/>
  <c r="Q37" i="3"/>
  <c r="R37" i="3"/>
  <c r="S37" i="3"/>
  <c r="T37" i="3"/>
  <c r="O38" i="3"/>
  <c r="P38" i="3"/>
  <c r="Q38" i="3"/>
  <c r="R38" i="3"/>
  <c r="S38" i="3"/>
  <c r="T38" i="3"/>
  <c r="O39" i="3"/>
  <c r="P39" i="3"/>
  <c r="Q39" i="3"/>
  <c r="R39" i="3"/>
  <c r="S39" i="3"/>
  <c r="T39" i="3"/>
  <c r="O40" i="3"/>
  <c r="P40" i="3"/>
  <c r="Q40" i="3"/>
  <c r="R40" i="3"/>
  <c r="S40" i="3"/>
  <c r="T40" i="3"/>
  <c r="O41" i="3"/>
  <c r="P41" i="3"/>
  <c r="Q41" i="3"/>
  <c r="R41" i="3"/>
  <c r="S41" i="3"/>
  <c r="T41" i="3"/>
  <c r="O42" i="3"/>
  <c r="P42" i="3"/>
  <c r="Q42" i="3"/>
  <c r="R42" i="3"/>
  <c r="S42" i="3"/>
  <c r="T42" i="3"/>
  <c r="O43" i="3"/>
  <c r="P43" i="3"/>
  <c r="Q43" i="3"/>
  <c r="R43" i="3"/>
  <c r="S43" i="3"/>
  <c r="T43" i="3"/>
  <c r="O44" i="3"/>
  <c r="P44" i="3"/>
  <c r="Q44" i="3"/>
  <c r="R44" i="3"/>
  <c r="S44" i="3"/>
  <c r="T44" i="3"/>
  <c r="O45" i="3"/>
  <c r="P45" i="3"/>
  <c r="Q45" i="3"/>
  <c r="R45" i="3"/>
  <c r="S45" i="3"/>
  <c r="T45" i="3"/>
  <c r="O46" i="3"/>
  <c r="P46" i="3"/>
  <c r="Q46" i="3"/>
  <c r="R46" i="3"/>
  <c r="S46" i="3"/>
  <c r="T46" i="3"/>
  <c r="O47" i="3"/>
  <c r="P47" i="3"/>
  <c r="Q47" i="3"/>
  <c r="R47" i="3"/>
  <c r="S47" i="3"/>
  <c r="T47" i="3"/>
  <c r="O48" i="3"/>
  <c r="P48" i="3"/>
  <c r="Q48" i="3"/>
  <c r="R48" i="3"/>
  <c r="S48" i="3"/>
  <c r="T48" i="3"/>
  <c r="O49" i="3"/>
  <c r="P49" i="3"/>
  <c r="Q49" i="3"/>
  <c r="R49" i="3"/>
  <c r="S49" i="3"/>
  <c r="T49" i="3"/>
  <c r="O50" i="3"/>
  <c r="P50" i="3"/>
  <c r="Q50" i="3"/>
  <c r="R50" i="3"/>
  <c r="S50" i="3"/>
  <c r="T50" i="3"/>
  <c r="O51" i="3"/>
  <c r="P51" i="3"/>
  <c r="Q51" i="3"/>
  <c r="R51" i="3"/>
  <c r="S51" i="3"/>
  <c r="T51" i="3"/>
  <c r="O52" i="3"/>
  <c r="P52" i="3"/>
  <c r="Q52" i="3"/>
  <c r="R52" i="3"/>
  <c r="S52" i="3"/>
  <c r="T52" i="3"/>
  <c r="O53" i="3"/>
  <c r="P53" i="3"/>
  <c r="Q53" i="3"/>
  <c r="R53" i="3"/>
  <c r="S53" i="3"/>
  <c r="T53" i="3"/>
  <c r="O54" i="3"/>
  <c r="P54" i="3"/>
  <c r="Q54" i="3"/>
  <c r="R54" i="3"/>
  <c r="S54" i="3"/>
  <c r="T54" i="3"/>
  <c r="O55" i="3"/>
  <c r="P55" i="3"/>
  <c r="Q55" i="3"/>
  <c r="R55" i="3"/>
  <c r="S55" i="3"/>
  <c r="T55" i="3"/>
  <c r="O56" i="3"/>
  <c r="P56" i="3"/>
  <c r="Q56" i="3"/>
  <c r="R56" i="3"/>
  <c r="S56" i="3"/>
  <c r="T56" i="3"/>
  <c r="O57" i="3"/>
  <c r="P57" i="3"/>
  <c r="Q57" i="3"/>
  <c r="R57" i="3"/>
  <c r="S57" i="3"/>
  <c r="T57" i="3"/>
  <c r="O58" i="3"/>
  <c r="P58" i="3"/>
  <c r="Q58" i="3"/>
  <c r="R58" i="3"/>
  <c r="S58" i="3"/>
  <c r="T58" i="3"/>
  <c r="O59" i="3"/>
  <c r="P59" i="3"/>
  <c r="Q59" i="3"/>
  <c r="R59" i="3"/>
  <c r="S59" i="3"/>
  <c r="T59" i="3"/>
  <c r="O60" i="3"/>
  <c r="P60" i="3"/>
  <c r="Q60" i="3"/>
  <c r="R60" i="3"/>
  <c r="S60" i="3"/>
  <c r="T60" i="3"/>
  <c r="O61" i="3"/>
  <c r="P61" i="3"/>
  <c r="Q61" i="3"/>
  <c r="R61" i="3"/>
  <c r="S61" i="3"/>
  <c r="T61" i="3"/>
  <c r="O62" i="3"/>
  <c r="P62" i="3"/>
  <c r="Q62" i="3"/>
  <c r="R62" i="3"/>
  <c r="S62" i="3"/>
  <c r="T62" i="3"/>
  <c r="O63" i="3"/>
  <c r="P63" i="3"/>
  <c r="Q63" i="3"/>
  <c r="R63" i="3"/>
  <c r="S63" i="3"/>
  <c r="T63" i="3"/>
  <c r="O64" i="3"/>
  <c r="P64" i="3"/>
  <c r="Q64" i="3"/>
  <c r="R64" i="3"/>
  <c r="S64" i="3"/>
  <c r="T64" i="3"/>
  <c r="O65" i="3"/>
  <c r="P65" i="3"/>
  <c r="Q65" i="3"/>
  <c r="R65" i="3"/>
  <c r="S65" i="3"/>
  <c r="T65" i="3"/>
  <c r="O66" i="3"/>
  <c r="P66" i="3"/>
  <c r="Q66" i="3"/>
  <c r="R66" i="3"/>
  <c r="S66" i="3"/>
  <c r="T66" i="3"/>
  <c r="O67" i="3"/>
  <c r="P67" i="3"/>
  <c r="Q67" i="3"/>
  <c r="R67" i="3"/>
  <c r="S67" i="3"/>
  <c r="T67" i="3"/>
  <c r="O68" i="3"/>
  <c r="P68" i="3"/>
  <c r="Q68" i="3"/>
  <c r="R68" i="3"/>
  <c r="S68" i="3"/>
  <c r="T68" i="3"/>
  <c r="O69" i="3"/>
  <c r="P69" i="3"/>
  <c r="Q69" i="3"/>
  <c r="R69" i="3"/>
  <c r="S69" i="3"/>
  <c r="T69" i="3"/>
  <c r="O70" i="3"/>
  <c r="P70" i="3"/>
  <c r="Q70" i="3"/>
  <c r="R70" i="3"/>
  <c r="S70" i="3"/>
  <c r="T70" i="3"/>
  <c r="O71" i="3"/>
  <c r="P71" i="3"/>
  <c r="Q71" i="3"/>
  <c r="R71" i="3"/>
  <c r="S71" i="3"/>
  <c r="T71" i="3"/>
  <c r="O72" i="3"/>
  <c r="P72" i="3"/>
  <c r="Q72" i="3"/>
  <c r="R72" i="3"/>
  <c r="S72" i="3"/>
  <c r="T72" i="3"/>
  <c r="O73" i="3"/>
  <c r="P73" i="3"/>
  <c r="Q73" i="3"/>
  <c r="R73" i="3"/>
  <c r="S73" i="3"/>
  <c r="T73" i="3"/>
  <c r="O74" i="3"/>
  <c r="P74" i="3"/>
  <c r="Q74" i="3"/>
  <c r="R74" i="3"/>
  <c r="S74" i="3"/>
  <c r="T74" i="3"/>
  <c r="O75" i="3"/>
  <c r="P75" i="3"/>
  <c r="Q75" i="3"/>
  <c r="R75" i="3"/>
  <c r="S75" i="3"/>
  <c r="T75" i="3"/>
  <c r="O76" i="3"/>
  <c r="P76" i="3"/>
  <c r="Q76" i="3"/>
  <c r="R76" i="3"/>
  <c r="S76" i="3"/>
  <c r="T76" i="3"/>
  <c r="O77" i="3"/>
  <c r="P77" i="3"/>
  <c r="Q77" i="3"/>
  <c r="R77" i="3"/>
  <c r="S77" i="3"/>
  <c r="T77" i="3"/>
  <c r="O78" i="3"/>
  <c r="P78" i="3"/>
  <c r="Q78" i="3"/>
  <c r="R78" i="3"/>
  <c r="S78" i="3"/>
  <c r="T78" i="3"/>
  <c r="O79" i="3"/>
  <c r="P79" i="3"/>
  <c r="Q79" i="3"/>
  <c r="R79" i="3"/>
  <c r="S79" i="3"/>
  <c r="T79" i="3"/>
  <c r="O80" i="3"/>
  <c r="P80" i="3"/>
  <c r="Q80" i="3"/>
  <c r="R80" i="3"/>
  <c r="S80" i="3"/>
  <c r="T80" i="3"/>
  <c r="O81" i="3"/>
  <c r="P81" i="3"/>
  <c r="Q81" i="3"/>
  <c r="R81" i="3"/>
  <c r="S81" i="3"/>
  <c r="T81" i="3"/>
  <c r="O82" i="3"/>
  <c r="P82" i="3"/>
  <c r="Q82" i="3"/>
  <c r="R82" i="3"/>
  <c r="S82" i="3"/>
  <c r="T82" i="3"/>
  <c r="O83" i="3"/>
  <c r="P83" i="3"/>
  <c r="Q83" i="3"/>
  <c r="R83" i="3"/>
  <c r="S83" i="3"/>
  <c r="T83" i="3"/>
  <c r="O84" i="3"/>
  <c r="P84" i="3"/>
  <c r="Q84" i="3"/>
  <c r="R84" i="3"/>
  <c r="S84" i="3"/>
  <c r="T84" i="3"/>
  <c r="O85" i="3"/>
  <c r="P85" i="3"/>
  <c r="Q85" i="3"/>
  <c r="R85" i="3"/>
  <c r="S85" i="3"/>
  <c r="T85" i="3"/>
  <c r="O86" i="3"/>
  <c r="P86" i="3"/>
  <c r="Q86" i="3"/>
  <c r="R86" i="3"/>
  <c r="S86" i="3"/>
  <c r="T86" i="3"/>
  <c r="O87" i="3"/>
  <c r="P87" i="3"/>
  <c r="Q87" i="3"/>
  <c r="R87" i="3"/>
  <c r="S87" i="3"/>
  <c r="T87" i="3"/>
  <c r="O88" i="3"/>
  <c r="P88" i="3"/>
  <c r="Q88" i="3"/>
  <c r="R88" i="3"/>
  <c r="S88" i="3"/>
  <c r="T88" i="3"/>
  <c r="O89" i="3"/>
  <c r="P89" i="3"/>
  <c r="Q89" i="3"/>
  <c r="R89" i="3"/>
  <c r="S89" i="3"/>
  <c r="T89" i="3"/>
  <c r="O90" i="3"/>
  <c r="P90" i="3"/>
  <c r="Q90" i="3"/>
  <c r="R90" i="3"/>
  <c r="S90" i="3"/>
  <c r="T90" i="3"/>
  <c r="O91" i="3"/>
  <c r="P91" i="3"/>
  <c r="Q91" i="3"/>
  <c r="R91" i="3"/>
  <c r="S91" i="3"/>
  <c r="T91" i="3"/>
  <c r="O92" i="3"/>
  <c r="P92" i="3"/>
  <c r="Q92" i="3"/>
  <c r="R92" i="3"/>
  <c r="S92" i="3"/>
  <c r="T92" i="3"/>
  <c r="O93" i="3"/>
  <c r="P93" i="3"/>
  <c r="Q93" i="3"/>
  <c r="R93" i="3"/>
  <c r="S93" i="3"/>
  <c r="T93" i="3"/>
  <c r="O94" i="3"/>
  <c r="P94" i="3"/>
  <c r="Q94" i="3"/>
  <c r="R94" i="3"/>
  <c r="S94" i="3"/>
  <c r="T94" i="3"/>
  <c r="O95" i="3"/>
  <c r="P95" i="3"/>
  <c r="Q95" i="3"/>
  <c r="R95" i="3"/>
  <c r="S95" i="3"/>
  <c r="T95" i="3"/>
  <c r="O96" i="3"/>
  <c r="P96" i="3"/>
  <c r="Q96" i="3"/>
  <c r="R96" i="3"/>
  <c r="S96" i="3"/>
  <c r="T96" i="3"/>
  <c r="O97" i="3"/>
  <c r="P97" i="3"/>
  <c r="Q97" i="3"/>
  <c r="R97" i="3"/>
  <c r="S97" i="3"/>
  <c r="T97" i="3"/>
  <c r="O98" i="3"/>
  <c r="P98" i="3"/>
  <c r="Q98" i="3"/>
  <c r="R98" i="3"/>
  <c r="S98" i="3"/>
  <c r="T98" i="3"/>
  <c r="O99" i="3"/>
  <c r="P99" i="3"/>
  <c r="Q99" i="3"/>
  <c r="R99" i="3"/>
  <c r="S99" i="3"/>
  <c r="T99" i="3"/>
  <c r="O100" i="3"/>
  <c r="P100" i="3"/>
  <c r="Q100" i="3"/>
  <c r="R100" i="3"/>
  <c r="S100" i="3"/>
  <c r="T100" i="3"/>
  <c r="O101" i="3"/>
  <c r="P101" i="3"/>
  <c r="Q101" i="3"/>
  <c r="R101" i="3"/>
  <c r="S101" i="3"/>
  <c r="T101" i="3"/>
  <c r="O102" i="3"/>
  <c r="P102" i="3"/>
  <c r="Q102" i="3"/>
  <c r="R102" i="3"/>
  <c r="S102" i="3"/>
  <c r="T102" i="3"/>
  <c r="O103" i="3"/>
  <c r="P103" i="3"/>
  <c r="Q103" i="3"/>
  <c r="R103" i="3"/>
  <c r="S103" i="3"/>
  <c r="T103" i="3"/>
  <c r="O104" i="3"/>
  <c r="P104" i="3"/>
  <c r="Q104" i="3"/>
  <c r="R104" i="3"/>
  <c r="S104" i="3"/>
  <c r="T104" i="3"/>
  <c r="O105" i="3"/>
  <c r="P105" i="3"/>
  <c r="Q105" i="3"/>
  <c r="R105" i="3"/>
  <c r="S105" i="3"/>
  <c r="T105" i="3"/>
  <c r="O106" i="3"/>
  <c r="P106" i="3"/>
  <c r="Q106" i="3"/>
  <c r="R106" i="3"/>
  <c r="S106" i="3"/>
  <c r="T106" i="3"/>
  <c r="O107" i="3"/>
  <c r="P107" i="3"/>
  <c r="Q107" i="3"/>
  <c r="R107" i="3"/>
  <c r="S107" i="3"/>
  <c r="T107" i="3"/>
  <c r="O108" i="3"/>
  <c r="P108" i="3"/>
  <c r="Q108" i="3"/>
  <c r="R108" i="3"/>
  <c r="S108" i="3"/>
  <c r="T108" i="3"/>
  <c r="O109" i="3"/>
  <c r="P109" i="3"/>
  <c r="Q109" i="3"/>
  <c r="R109" i="3"/>
  <c r="S109" i="3"/>
  <c r="T109" i="3"/>
  <c r="O110" i="3"/>
  <c r="P110" i="3"/>
  <c r="Q110" i="3"/>
  <c r="R110" i="3"/>
  <c r="S110" i="3"/>
  <c r="T110" i="3"/>
  <c r="O111" i="3"/>
  <c r="P111" i="3"/>
  <c r="Q111" i="3"/>
  <c r="R111" i="3"/>
  <c r="S111" i="3"/>
  <c r="T111" i="3"/>
  <c r="O112" i="3"/>
  <c r="P112" i="3"/>
  <c r="Q112" i="3"/>
  <c r="R112" i="3"/>
  <c r="S112" i="3"/>
  <c r="T112" i="3"/>
  <c r="O113" i="3"/>
  <c r="P113" i="3"/>
  <c r="Q113" i="3"/>
  <c r="R113" i="3"/>
  <c r="S113" i="3"/>
  <c r="T113" i="3"/>
  <c r="O114" i="3"/>
  <c r="P114" i="3"/>
  <c r="Q114" i="3"/>
  <c r="R114" i="3"/>
  <c r="S114" i="3"/>
  <c r="T114" i="3"/>
  <c r="O115" i="3"/>
  <c r="P115" i="3"/>
  <c r="Q115" i="3"/>
  <c r="R115" i="3"/>
  <c r="S115" i="3"/>
  <c r="T115" i="3"/>
  <c r="O116" i="3"/>
  <c r="P116" i="3"/>
  <c r="Q116" i="3"/>
  <c r="R116" i="3"/>
  <c r="S116" i="3"/>
  <c r="T116" i="3"/>
  <c r="O117" i="3"/>
  <c r="P117" i="3"/>
  <c r="Q117" i="3"/>
  <c r="R117" i="3"/>
  <c r="S117" i="3"/>
  <c r="T117" i="3"/>
  <c r="O118" i="3"/>
  <c r="P118" i="3"/>
  <c r="Q118" i="3"/>
  <c r="R118" i="3"/>
  <c r="S118" i="3"/>
  <c r="T118" i="3"/>
  <c r="O119" i="3"/>
  <c r="P119" i="3"/>
  <c r="Q119" i="3"/>
  <c r="R119" i="3"/>
  <c r="S119" i="3"/>
  <c r="T119" i="3"/>
  <c r="O120" i="3"/>
  <c r="P120" i="3"/>
  <c r="Q120" i="3"/>
  <c r="R120" i="3"/>
  <c r="S120" i="3"/>
  <c r="T120" i="3"/>
  <c r="O121" i="3"/>
  <c r="P121" i="3"/>
  <c r="Q121" i="3"/>
  <c r="R121" i="3"/>
  <c r="S121" i="3"/>
  <c r="T121" i="3"/>
  <c r="O122" i="3"/>
  <c r="P122" i="3"/>
  <c r="Q122" i="3"/>
  <c r="R122" i="3"/>
  <c r="S122" i="3"/>
  <c r="T122" i="3"/>
  <c r="O123" i="3"/>
  <c r="P123" i="3"/>
  <c r="Q123" i="3"/>
  <c r="R123" i="3"/>
  <c r="S123" i="3"/>
  <c r="T123" i="3"/>
  <c r="O124" i="3"/>
  <c r="P124" i="3"/>
  <c r="Q124" i="3"/>
  <c r="R124" i="3"/>
  <c r="S124" i="3"/>
  <c r="T124" i="3"/>
  <c r="O125" i="3"/>
  <c r="P125" i="3"/>
  <c r="Q125" i="3"/>
  <c r="R125" i="3"/>
  <c r="S125" i="3"/>
  <c r="T125" i="3"/>
  <c r="O126" i="3"/>
  <c r="P126" i="3"/>
  <c r="Q126" i="3"/>
  <c r="R126" i="3"/>
  <c r="S126" i="3"/>
  <c r="T126" i="3"/>
  <c r="O127" i="3"/>
  <c r="P127" i="3"/>
  <c r="Q127" i="3"/>
  <c r="R127" i="3"/>
  <c r="S127" i="3"/>
  <c r="T127" i="3"/>
  <c r="O128" i="3"/>
  <c r="P128" i="3"/>
  <c r="Q128" i="3"/>
  <c r="R128" i="3"/>
  <c r="S128" i="3"/>
  <c r="T128" i="3"/>
  <c r="O129" i="3"/>
  <c r="P129" i="3"/>
  <c r="Q129" i="3"/>
  <c r="R129" i="3"/>
  <c r="S129" i="3"/>
  <c r="T129" i="3"/>
  <c r="O130" i="3"/>
  <c r="P130" i="3"/>
  <c r="Q130" i="3"/>
  <c r="R130" i="3"/>
  <c r="S130" i="3"/>
  <c r="T130" i="3"/>
  <c r="O131" i="3"/>
  <c r="P131" i="3"/>
  <c r="Q131" i="3"/>
  <c r="R131" i="3"/>
  <c r="S131" i="3"/>
  <c r="T131" i="3"/>
  <c r="O132" i="3"/>
  <c r="P132" i="3"/>
  <c r="Q132" i="3"/>
  <c r="R132" i="3"/>
  <c r="S132" i="3"/>
  <c r="T132" i="3"/>
  <c r="O133" i="3"/>
  <c r="P133" i="3"/>
  <c r="Q133" i="3"/>
  <c r="R133" i="3"/>
  <c r="S133" i="3"/>
  <c r="T133" i="3"/>
  <c r="O134" i="3"/>
  <c r="P134" i="3"/>
  <c r="Q134" i="3"/>
  <c r="R134" i="3"/>
  <c r="S134" i="3"/>
  <c r="T134" i="3"/>
  <c r="O135" i="3"/>
  <c r="P135" i="3"/>
  <c r="Q135" i="3"/>
  <c r="R135" i="3"/>
  <c r="S135" i="3"/>
  <c r="T135" i="3"/>
  <c r="O136" i="3"/>
  <c r="P136" i="3"/>
  <c r="Q136" i="3"/>
  <c r="R136" i="3"/>
  <c r="S136" i="3"/>
  <c r="T136" i="3"/>
  <c r="O137" i="3"/>
  <c r="P137" i="3"/>
  <c r="Q137" i="3"/>
  <c r="R137" i="3"/>
  <c r="S137" i="3"/>
  <c r="T137" i="3"/>
  <c r="O138" i="3"/>
  <c r="P138" i="3"/>
  <c r="Q138" i="3"/>
  <c r="R138" i="3"/>
  <c r="S138" i="3"/>
  <c r="T138" i="3"/>
  <c r="O139" i="3"/>
  <c r="P139" i="3"/>
  <c r="Q139" i="3"/>
  <c r="R139" i="3"/>
  <c r="S139" i="3"/>
  <c r="T139" i="3"/>
  <c r="O140" i="3"/>
  <c r="P140" i="3"/>
  <c r="Q140" i="3"/>
  <c r="R140" i="3"/>
  <c r="S140" i="3"/>
  <c r="T140" i="3"/>
  <c r="O141" i="3"/>
  <c r="P141" i="3"/>
  <c r="Q141" i="3"/>
  <c r="R141" i="3"/>
  <c r="S141" i="3"/>
  <c r="T141" i="3"/>
  <c r="O142" i="3"/>
  <c r="P142" i="3"/>
  <c r="Q142" i="3"/>
  <c r="R142" i="3"/>
  <c r="S142" i="3"/>
  <c r="T142" i="3"/>
  <c r="O143" i="3"/>
  <c r="P143" i="3"/>
  <c r="Q143" i="3"/>
  <c r="R143" i="3"/>
  <c r="S143" i="3"/>
  <c r="T143" i="3"/>
  <c r="O144" i="3"/>
  <c r="P144" i="3"/>
  <c r="Q144" i="3"/>
  <c r="R144" i="3"/>
  <c r="S144" i="3"/>
  <c r="T144" i="3"/>
  <c r="O145" i="3"/>
  <c r="P145" i="3"/>
  <c r="Q145" i="3"/>
  <c r="R145" i="3"/>
  <c r="S145" i="3"/>
  <c r="T145" i="3"/>
  <c r="O146" i="3"/>
  <c r="P146" i="3"/>
  <c r="Q146" i="3"/>
  <c r="R146" i="3"/>
  <c r="S146" i="3"/>
  <c r="T146" i="3"/>
  <c r="O147" i="3"/>
  <c r="P147" i="3"/>
  <c r="Q147" i="3"/>
  <c r="R147" i="3"/>
  <c r="S147" i="3"/>
  <c r="T147" i="3"/>
  <c r="O148" i="3"/>
  <c r="P148" i="3"/>
  <c r="Q148" i="3"/>
  <c r="R148" i="3"/>
  <c r="S148" i="3"/>
  <c r="T148" i="3"/>
  <c r="O149" i="3"/>
  <c r="P149" i="3"/>
  <c r="Q149" i="3"/>
  <c r="R149" i="3"/>
  <c r="S149" i="3"/>
  <c r="T149" i="3"/>
  <c r="O150" i="3"/>
  <c r="P150" i="3"/>
  <c r="Q150" i="3"/>
  <c r="R150" i="3"/>
  <c r="S150" i="3"/>
  <c r="T150" i="3"/>
  <c r="O151" i="3"/>
  <c r="P151" i="3"/>
  <c r="Q151" i="3"/>
  <c r="R151" i="3"/>
  <c r="S151" i="3"/>
  <c r="T151" i="3"/>
  <c r="O152" i="3"/>
  <c r="P152" i="3"/>
  <c r="Q152" i="3"/>
  <c r="R152" i="3"/>
  <c r="S152" i="3"/>
  <c r="T152" i="3"/>
  <c r="O153" i="3"/>
  <c r="P153" i="3"/>
  <c r="Q153" i="3"/>
  <c r="R153" i="3"/>
  <c r="S153" i="3"/>
  <c r="T153" i="3"/>
  <c r="O154" i="3"/>
  <c r="P154" i="3"/>
  <c r="Q154" i="3"/>
  <c r="R154" i="3"/>
  <c r="S154" i="3"/>
  <c r="T154" i="3"/>
  <c r="O155" i="3"/>
  <c r="P155" i="3"/>
  <c r="Q155" i="3"/>
  <c r="R155" i="3"/>
  <c r="S155" i="3"/>
  <c r="T155" i="3"/>
  <c r="O156" i="3"/>
  <c r="P156" i="3"/>
  <c r="Q156" i="3"/>
  <c r="R156" i="3"/>
  <c r="S156" i="3"/>
  <c r="T156" i="3"/>
  <c r="O157" i="3"/>
  <c r="P157" i="3"/>
  <c r="Q157" i="3"/>
  <c r="R157" i="3"/>
  <c r="S157" i="3"/>
  <c r="T157" i="3"/>
  <c r="O158" i="3"/>
  <c r="P158" i="3"/>
  <c r="Q158" i="3"/>
  <c r="R158" i="3"/>
  <c r="S158" i="3"/>
  <c r="T158" i="3"/>
  <c r="O159" i="3"/>
  <c r="P159" i="3"/>
  <c r="Q159" i="3"/>
  <c r="R159" i="3"/>
  <c r="S159" i="3"/>
  <c r="T159" i="3"/>
  <c r="O160" i="3"/>
  <c r="P160" i="3"/>
  <c r="Q160" i="3"/>
  <c r="R160" i="3"/>
  <c r="S160" i="3"/>
  <c r="T160" i="3"/>
  <c r="O161" i="3"/>
  <c r="P161" i="3"/>
  <c r="Q161" i="3"/>
  <c r="R161" i="3"/>
  <c r="S161" i="3"/>
  <c r="T161" i="3"/>
  <c r="O162" i="3"/>
  <c r="P162" i="3"/>
  <c r="Q162" i="3"/>
  <c r="R162" i="3"/>
  <c r="S162" i="3"/>
  <c r="T162" i="3"/>
  <c r="O163" i="3"/>
  <c r="P163" i="3"/>
  <c r="Q163" i="3"/>
  <c r="R163" i="3"/>
  <c r="S163" i="3"/>
  <c r="T163" i="3"/>
  <c r="O164" i="3"/>
  <c r="P164" i="3"/>
  <c r="Q164" i="3"/>
  <c r="R164" i="3"/>
  <c r="S164" i="3"/>
  <c r="T164" i="3"/>
  <c r="O165" i="3"/>
  <c r="P165" i="3"/>
  <c r="Q165" i="3"/>
  <c r="R165" i="3"/>
  <c r="S165" i="3"/>
  <c r="T165" i="3"/>
  <c r="O166" i="3"/>
  <c r="P166" i="3"/>
  <c r="Q166" i="3"/>
  <c r="R166" i="3"/>
  <c r="S166" i="3"/>
  <c r="T166" i="3"/>
  <c r="O167" i="3"/>
  <c r="P167" i="3"/>
  <c r="Q167" i="3"/>
  <c r="R167" i="3"/>
  <c r="S167" i="3"/>
  <c r="T167" i="3"/>
  <c r="O168" i="3"/>
  <c r="P168" i="3"/>
  <c r="Q168" i="3"/>
  <c r="R168" i="3"/>
  <c r="S168" i="3"/>
  <c r="T168" i="3"/>
  <c r="O169" i="3"/>
  <c r="P169" i="3"/>
  <c r="Q169" i="3"/>
  <c r="R169" i="3"/>
  <c r="S169" i="3"/>
  <c r="T169" i="3"/>
  <c r="O170" i="3"/>
  <c r="P170" i="3"/>
  <c r="Q170" i="3"/>
  <c r="R170" i="3"/>
  <c r="S170" i="3"/>
  <c r="T170" i="3"/>
  <c r="O171" i="3"/>
  <c r="P171" i="3"/>
  <c r="Q171" i="3"/>
  <c r="R171" i="3"/>
  <c r="S171" i="3"/>
  <c r="T171" i="3"/>
  <c r="O172" i="3"/>
  <c r="P172" i="3"/>
  <c r="Q172" i="3"/>
  <c r="R172" i="3"/>
  <c r="S172" i="3"/>
  <c r="T172" i="3"/>
  <c r="O173" i="3"/>
  <c r="P173" i="3"/>
  <c r="Q173" i="3"/>
  <c r="R173" i="3"/>
  <c r="S173" i="3"/>
  <c r="T173" i="3"/>
  <c r="O174" i="3"/>
  <c r="P174" i="3"/>
  <c r="Q174" i="3"/>
  <c r="R174" i="3"/>
  <c r="S174" i="3"/>
  <c r="T174" i="3"/>
  <c r="O175" i="3"/>
  <c r="P175" i="3"/>
  <c r="Q175" i="3"/>
  <c r="R175" i="3"/>
  <c r="S175" i="3"/>
  <c r="T175" i="3"/>
  <c r="O176" i="3"/>
  <c r="P176" i="3"/>
  <c r="Q176" i="3"/>
  <c r="R176" i="3"/>
  <c r="S176" i="3"/>
  <c r="T176" i="3"/>
  <c r="O177" i="3"/>
  <c r="P177" i="3"/>
  <c r="Q177" i="3"/>
  <c r="R177" i="3"/>
  <c r="S177" i="3"/>
  <c r="T177" i="3"/>
  <c r="O178" i="3"/>
  <c r="P178" i="3"/>
  <c r="Q178" i="3"/>
  <c r="R178" i="3"/>
  <c r="S178" i="3"/>
  <c r="T178" i="3"/>
  <c r="O179" i="3"/>
  <c r="P179" i="3"/>
  <c r="Q179" i="3"/>
  <c r="R179" i="3"/>
  <c r="S179" i="3"/>
  <c r="T179" i="3"/>
  <c r="O180" i="3"/>
  <c r="P180" i="3"/>
  <c r="Q180" i="3"/>
  <c r="R180" i="3"/>
  <c r="S180" i="3"/>
  <c r="T180" i="3"/>
  <c r="O181" i="3"/>
  <c r="P181" i="3"/>
  <c r="Q181" i="3"/>
  <c r="R181" i="3"/>
  <c r="S181" i="3"/>
  <c r="T181" i="3"/>
  <c r="O182" i="3"/>
  <c r="P182" i="3"/>
  <c r="Q182" i="3"/>
  <c r="R182" i="3"/>
  <c r="S182" i="3"/>
  <c r="T182" i="3"/>
  <c r="O183" i="3"/>
  <c r="P183" i="3"/>
  <c r="Q183" i="3"/>
  <c r="R183" i="3"/>
  <c r="S183" i="3"/>
  <c r="T183" i="3"/>
  <c r="O184" i="3"/>
  <c r="P184" i="3"/>
  <c r="Q184" i="3"/>
  <c r="R184" i="3"/>
  <c r="S184" i="3"/>
  <c r="T184" i="3"/>
  <c r="O185" i="3"/>
  <c r="P185" i="3"/>
  <c r="Q185" i="3"/>
  <c r="R185" i="3"/>
  <c r="S185" i="3"/>
  <c r="T185" i="3"/>
  <c r="O186" i="3"/>
  <c r="P186" i="3"/>
  <c r="Q186" i="3"/>
  <c r="R186" i="3"/>
  <c r="S186" i="3"/>
  <c r="T186" i="3"/>
  <c r="O187" i="3"/>
  <c r="P187" i="3"/>
  <c r="Q187" i="3"/>
  <c r="R187" i="3"/>
  <c r="S187" i="3"/>
  <c r="T187" i="3"/>
  <c r="O188" i="3"/>
  <c r="P188" i="3"/>
  <c r="Q188" i="3"/>
  <c r="R188" i="3"/>
  <c r="S188" i="3"/>
  <c r="T188" i="3"/>
  <c r="O189" i="3"/>
  <c r="P189" i="3"/>
  <c r="Q189" i="3"/>
  <c r="R189" i="3"/>
  <c r="S189" i="3"/>
  <c r="T189" i="3"/>
  <c r="O190" i="3"/>
  <c r="P190" i="3"/>
  <c r="Q190" i="3"/>
  <c r="R190" i="3"/>
  <c r="S190" i="3"/>
  <c r="T190" i="3"/>
  <c r="O191" i="3"/>
  <c r="P191" i="3"/>
  <c r="Q191" i="3"/>
  <c r="R191" i="3"/>
  <c r="S191" i="3"/>
  <c r="T191" i="3"/>
  <c r="O192" i="3"/>
  <c r="P192" i="3"/>
  <c r="Q192" i="3"/>
  <c r="R192" i="3"/>
  <c r="S192" i="3"/>
  <c r="T192" i="3"/>
  <c r="O193" i="3"/>
  <c r="P193" i="3"/>
  <c r="Q193" i="3"/>
  <c r="R193" i="3"/>
  <c r="S193" i="3"/>
  <c r="T193" i="3"/>
  <c r="O194" i="3"/>
  <c r="P194" i="3"/>
  <c r="Q194" i="3"/>
  <c r="R194" i="3"/>
  <c r="S194" i="3"/>
  <c r="T194" i="3"/>
  <c r="O195" i="3"/>
  <c r="P195" i="3"/>
  <c r="Q195" i="3"/>
  <c r="R195" i="3"/>
  <c r="S195" i="3"/>
  <c r="T195" i="3"/>
  <c r="O196" i="3"/>
  <c r="P196" i="3"/>
  <c r="Q196" i="3"/>
  <c r="R196" i="3"/>
  <c r="S196" i="3"/>
  <c r="T196" i="3"/>
  <c r="O197" i="3"/>
  <c r="P197" i="3"/>
  <c r="Q197" i="3"/>
  <c r="R197" i="3"/>
  <c r="S197" i="3"/>
  <c r="T197" i="3"/>
  <c r="O198" i="3"/>
  <c r="P198" i="3"/>
  <c r="Q198" i="3"/>
  <c r="R198" i="3"/>
  <c r="S198" i="3"/>
  <c r="T198" i="3"/>
  <c r="O199" i="3"/>
  <c r="P199" i="3"/>
  <c r="Q199" i="3"/>
  <c r="R199" i="3"/>
  <c r="S199" i="3"/>
  <c r="T199" i="3"/>
  <c r="O200" i="3"/>
  <c r="P200" i="3"/>
  <c r="Q200" i="3"/>
  <c r="R200" i="3"/>
  <c r="S200" i="3"/>
  <c r="T200" i="3"/>
  <c r="O201" i="3"/>
  <c r="P201" i="3"/>
  <c r="Q201" i="3"/>
  <c r="R201" i="3"/>
  <c r="S201" i="3"/>
  <c r="T201" i="3"/>
  <c r="O202" i="3"/>
  <c r="P202" i="3"/>
  <c r="Q202" i="3"/>
  <c r="R202" i="3"/>
  <c r="S202" i="3"/>
  <c r="T202" i="3"/>
  <c r="O203" i="3"/>
  <c r="P203" i="3"/>
  <c r="Q203" i="3"/>
  <c r="R203" i="3"/>
  <c r="S203" i="3"/>
  <c r="T203" i="3"/>
  <c r="O204" i="3"/>
  <c r="P204" i="3"/>
  <c r="Q204" i="3"/>
  <c r="R204" i="3"/>
  <c r="S204" i="3"/>
  <c r="T204" i="3"/>
  <c r="O205" i="3"/>
  <c r="P205" i="3"/>
  <c r="Q205" i="3"/>
  <c r="R205" i="3"/>
  <c r="S205" i="3"/>
  <c r="T205" i="3"/>
  <c r="O206" i="3"/>
  <c r="P206" i="3"/>
  <c r="Q206" i="3"/>
  <c r="R206" i="3"/>
  <c r="S206" i="3"/>
  <c r="T206" i="3"/>
  <c r="O207" i="3"/>
  <c r="P207" i="3"/>
  <c r="Q207" i="3"/>
  <c r="R207" i="3"/>
  <c r="S207" i="3"/>
  <c r="T207" i="3"/>
  <c r="O208" i="3"/>
  <c r="P208" i="3"/>
  <c r="Q208" i="3"/>
  <c r="R208" i="3"/>
  <c r="S208" i="3"/>
  <c r="T208" i="3"/>
  <c r="O209" i="3"/>
  <c r="P209" i="3"/>
  <c r="Q209" i="3"/>
  <c r="R209" i="3"/>
  <c r="S209" i="3"/>
  <c r="T209" i="3"/>
  <c r="O210" i="3"/>
  <c r="P210" i="3"/>
  <c r="Q210" i="3"/>
  <c r="R210" i="3"/>
  <c r="S210" i="3"/>
  <c r="T210" i="3"/>
  <c r="O211" i="3"/>
  <c r="P211" i="3"/>
  <c r="Q211" i="3"/>
  <c r="R211" i="3"/>
  <c r="S211" i="3"/>
  <c r="T211" i="3"/>
  <c r="O212" i="3"/>
  <c r="P212" i="3"/>
  <c r="Q212" i="3"/>
  <c r="R212" i="3"/>
  <c r="S212" i="3"/>
  <c r="T212" i="3"/>
  <c r="O213" i="3"/>
  <c r="P213" i="3"/>
  <c r="Q213" i="3"/>
  <c r="R213" i="3"/>
  <c r="S213" i="3"/>
  <c r="T213" i="3"/>
  <c r="O214" i="3"/>
  <c r="P214" i="3"/>
  <c r="Q214" i="3"/>
  <c r="R214" i="3"/>
  <c r="S214" i="3"/>
  <c r="T214" i="3"/>
  <c r="O215" i="3"/>
  <c r="P215" i="3"/>
  <c r="Q215" i="3"/>
  <c r="R215" i="3"/>
  <c r="S215" i="3"/>
  <c r="T215" i="3"/>
  <c r="O216" i="3"/>
  <c r="P216" i="3"/>
  <c r="Q216" i="3"/>
  <c r="R216" i="3"/>
  <c r="S216" i="3"/>
  <c r="T216" i="3"/>
  <c r="O217" i="3"/>
  <c r="P217" i="3"/>
  <c r="Q217" i="3"/>
  <c r="R217" i="3"/>
  <c r="S217" i="3"/>
  <c r="T217" i="3"/>
  <c r="O218" i="3"/>
  <c r="P218" i="3"/>
  <c r="Q218" i="3"/>
  <c r="R218" i="3"/>
  <c r="S218" i="3"/>
  <c r="T218" i="3"/>
  <c r="O219" i="3"/>
  <c r="P219" i="3"/>
  <c r="Q219" i="3"/>
  <c r="R219" i="3"/>
  <c r="S219" i="3"/>
  <c r="T219" i="3"/>
  <c r="O220" i="3"/>
  <c r="P220" i="3"/>
  <c r="Q220" i="3"/>
  <c r="R220" i="3"/>
  <c r="S220" i="3"/>
  <c r="T220" i="3"/>
  <c r="O221" i="3"/>
  <c r="P221" i="3"/>
  <c r="Q221" i="3"/>
  <c r="R221" i="3"/>
  <c r="S221" i="3"/>
  <c r="T221" i="3"/>
  <c r="O222" i="3"/>
  <c r="P222" i="3"/>
  <c r="Q222" i="3"/>
  <c r="R222" i="3"/>
  <c r="S222" i="3"/>
  <c r="T222" i="3"/>
  <c r="O223" i="3"/>
  <c r="P223" i="3"/>
  <c r="Q223" i="3"/>
  <c r="R223" i="3"/>
  <c r="S223" i="3"/>
  <c r="T223" i="3"/>
  <c r="O224" i="3"/>
  <c r="P224" i="3"/>
  <c r="Q224" i="3"/>
  <c r="R224" i="3"/>
  <c r="S224" i="3"/>
  <c r="T224" i="3"/>
  <c r="O225" i="3"/>
  <c r="P225" i="3"/>
  <c r="Q225" i="3"/>
  <c r="R225" i="3"/>
  <c r="S225" i="3"/>
  <c r="T225" i="3"/>
  <c r="O226" i="3"/>
  <c r="P226" i="3"/>
  <c r="Q226" i="3"/>
  <c r="R226" i="3"/>
  <c r="S226" i="3"/>
  <c r="T226" i="3"/>
  <c r="O227" i="3"/>
  <c r="P227" i="3"/>
  <c r="Q227" i="3"/>
  <c r="R227" i="3"/>
  <c r="S227" i="3"/>
  <c r="T227" i="3"/>
  <c r="O228" i="3"/>
  <c r="P228" i="3"/>
  <c r="Q228" i="3"/>
  <c r="R228" i="3"/>
  <c r="S228" i="3"/>
  <c r="T228" i="3"/>
  <c r="O229" i="3"/>
  <c r="P229" i="3"/>
  <c r="Q229" i="3"/>
  <c r="R229" i="3"/>
  <c r="S229" i="3"/>
  <c r="T229" i="3"/>
  <c r="O230" i="3"/>
  <c r="P230" i="3"/>
  <c r="Q230" i="3"/>
  <c r="R230" i="3"/>
  <c r="S230" i="3"/>
  <c r="T230" i="3"/>
  <c r="O231" i="3"/>
  <c r="P231" i="3"/>
  <c r="Q231" i="3"/>
  <c r="R231" i="3"/>
  <c r="S231" i="3"/>
  <c r="T231" i="3"/>
  <c r="O232" i="3"/>
  <c r="P232" i="3"/>
  <c r="Q232" i="3"/>
  <c r="R232" i="3"/>
  <c r="S232" i="3"/>
  <c r="T232" i="3"/>
  <c r="O233" i="3"/>
  <c r="P233" i="3"/>
  <c r="Q233" i="3"/>
  <c r="R233" i="3"/>
  <c r="S233" i="3"/>
  <c r="T233" i="3"/>
  <c r="O234" i="3"/>
  <c r="P234" i="3"/>
  <c r="Q234" i="3"/>
  <c r="R234" i="3"/>
  <c r="S234" i="3"/>
  <c r="T234" i="3"/>
  <c r="O235" i="3"/>
  <c r="P235" i="3"/>
  <c r="Q235" i="3"/>
  <c r="R235" i="3"/>
  <c r="S235" i="3"/>
  <c r="T235" i="3"/>
  <c r="O236" i="3"/>
  <c r="P236" i="3"/>
  <c r="Q236" i="3"/>
  <c r="R236" i="3"/>
  <c r="S236" i="3"/>
  <c r="T236" i="3"/>
  <c r="O237" i="3"/>
  <c r="P237" i="3"/>
  <c r="Q237" i="3"/>
  <c r="R237" i="3"/>
  <c r="S237" i="3"/>
  <c r="T237" i="3"/>
  <c r="O238" i="3"/>
  <c r="P238" i="3"/>
  <c r="Q238" i="3"/>
  <c r="R238" i="3"/>
  <c r="S238" i="3"/>
  <c r="T238" i="3"/>
  <c r="O239" i="3"/>
  <c r="P239" i="3"/>
  <c r="Q239" i="3"/>
  <c r="R239" i="3"/>
  <c r="S239" i="3"/>
  <c r="T239" i="3"/>
  <c r="O240" i="3"/>
  <c r="P240" i="3"/>
  <c r="Q240" i="3"/>
  <c r="R240" i="3"/>
  <c r="S240" i="3"/>
  <c r="T240" i="3"/>
  <c r="O241" i="3"/>
  <c r="P241" i="3"/>
  <c r="Q241" i="3"/>
  <c r="R241" i="3"/>
  <c r="S241" i="3"/>
  <c r="T241" i="3"/>
  <c r="O242" i="3"/>
  <c r="P242" i="3"/>
  <c r="Q242" i="3"/>
  <c r="R242" i="3"/>
  <c r="S242" i="3"/>
  <c r="T242" i="3"/>
  <c r="O243" i="3"/>
  <c r="P243" i="3"/>
  <c r="Q243" i="3"/>
  <c r="R243" i="3"/>
  <c r="S243" i="3"/>
  <c r="T243" i="3"/>
  <c r="O244" i="3"/>
  <c r="P244" i="3"/>
  <c r="Q244" i="3"/>
  <c r="R244" i="3"/>
  <c r="S244" i="3"/>
  <c r="T244" i="3"/>
  <c r="O245" i="3"/>
  <c r="P245" i="3"/>
  <c r="Q245" i="3"/>
  <c r="R245" i="3"/>
  <c r="S245" i="3"/>
  <c r="T245" i="3"/>
  <c r="O246" i="3"/>
  <c r="P246" i="3"/>
  <c r="Q246" i="3"/>
  <c r="R246" i="3"/>
  <c r="S246" i="3"/>
  <c r="T246" i="3"/>
  <c r="O247" i="3"/>
  <c r="P247" i="3"/>
  <c r="Q247" i="3"/>
  <c r="R247" i="3"/>
  <c r="S247" i="3"/>
  <c r="T247" i="3"/>
  <c r="O248" i="3"/>
  <c r="P248" i="3"/>
  <c r="Q248" i="3"/>
  <c r="R248" i="3"/>
  <c r="S248" i="3"/>
  <c r="T248" i="3"/>
  <c r="O249" i="3"/>
  <c r="P249" i="3"/>
  <c r="Q249" i="3"/>
  <c r="R249" i="3"/>
  <c r="S249" i="3"/>
  <c r="T249" i="3"/>
  <c r="O250" i="3"/>
  <c r="P250" i="3"/>
  <c r="Q250" i="3"/>
  <c r="R250" i="3"/>
  <c r="S250" i="3"/>
  <c r="T250" i="3"/>
  <c r="O251" i="3"/>
  <c r="P251" i="3"/>
  <c r="Q251" i="3"/>
  <c r="R251" i="3"/>
  <c r="S251" i="3"/>
  <c r="T251" i="3"/>
  <c r="O252" i="3"/>
  <c r="P252" i="3"/>
  <c r="Q252" i="3"/>
  <c r="R252" i="3"/>
  <c r="S252" i="3"/>
  <c r="T252" i="3"/>
  <c r="O253" i="3"/>
  <c r="P253" i="3"/>
  <c r="Q253" i="3"/>
  <c r="R253" i="3"/>
  <c r="S253" i="3"/>
  <c r="T253" i="3"/>
  <c r="O254" i="3"/>
  <c r="P254" i="3"/>
  <c r="Q254" i="3"/>
  <c r="R254" i="3"/>
  <c r="S254" i="3"/>
  <c r="T254" i="3"/>
  <c r="O255" i="3"/>
  <c r="P255" i="3"/>
  <c r="Q255" i="3"/>
  <c r="R255" i="3"/>
  <c r="S255" i="3"/>
  <c r="T255" i="3"/>
  <c r="O256" i="3"/>
  <c r="P256" i="3"/>
  <c r="Q256" i="3"/>
  <c r="R256" i="3"/>
  <c r="S256" i="3"/>
  <c r="T256" i="3"/>
  <c r="O257" i="3"/>
  <c r="P257" i="3"/>
  <c r="Q257" i="3"/>
  <c r="R257" i="3"/>
  <c r="S257" i="3"/>
  <c r="T257" i="3"/>
  <c r="O258" i="3"/>
  <c r="P258" i="3"/>
  <c r="Q258" i="3"/>
  <c r="R258" i="3"/>
  <c r="S258" i="3"/>
  <c r="T258" i="3"/>
  <c r="O259" i="3"/>
  <c r="P259" i="3"/>
  <c r="Q259" i="3"/>
  <c r="R259" i="3"/>
  <c r="S259" i="3"/>
  <c r="T259" i="3"/>
  <c r="O260" i="3"/>
  <c r="P260" i="3"/>
  <c r="Q260" i="3"/>
  <c r="R260" i="3"/>
  <c r="S260" i="3"/>
  <c r="T260" i="3"/>
  <c r="O261" i="3"/>
  <c r="P261" i="3"/>
  <c r="Q261" i="3"/>
  <c r="R261" i="3"/>
  <c r="S261" i="3"/>
  <c r="T261" i="3"/>
  <c r="O262" i="3"/>
  <c r="P262" i="3"/>
  <c r="Q262" i="3"/>
  <c r="R262" i="3"/>
  <c r="S262" i="3"/>
  <c r="T262" i="3"/>
  <c r="O263" i="3"/>
  <c r="P263" i="3"/>
  <c r="Q263" i="3"/>
  <c r="R263" i="3"/>
  <c r="S263" i="3"/>
  <c r="T263" i="3"/>
  <c r="O264" i="3"/>
  <c r="P264" i="3"/>
  <c r="Q264" i="3"/>
  <c r="R264" i="3"/>
  <c r="S264" i="3"/>
  <c r="T264" i="3"/>
  <c r="O265" i="3"/>
  <c r="P265" i="3"/>
  <c r="Q265" i="3"/>
  <c r="R265" i="3"/>
  <c r="S265" i="3"/>
  <c r="T265" i="3"/>
  <c r="O266" i="3"/>
  <c r="P266" i="3"/>
  <c r="Q266" i="3"/>
  <c r="R266" i="3"/>
  <c r="S266" i="3"/>
  <c r="T266" i="3"/>
  <c r="O267" i="3"/>
  <c r="P267" i="3"/>
  <c r="Q267" i="3"/>
  <c r="R267" i="3"/>
  <c r="S267" i="3"/>
  <c r="T267" i="3"/>
  <c r="O268" i="3"/>
  <c r="P268" i="3"/>
  <c r="Q268" i="3"/>
  <c r="R268" i="3"/>
  <c r="S268" i="3"/>
  <c r="T268" i="3"/>
  <c r="O269" i="3"/>
  <c r="P269" i="3"/>
  <c r="Q269" i="3"/>
  <c r="R269" i="3"/>
  <c r="S269" i="3"/>
  <c r="T269" i="3"/>
  <c r="O270" i="3"/>
  <c r="P270" i="3"/>
  <c r="Q270" i="3"/>
  <c r="R270" i="3"/>
  <c r="S270" i="3"/>
  <c r="T270" i="3"/>
  <c r="O271" i="3"/>
  <c r="P271" i="3"/>
  <c r="Q271" i="3"/>
  <c r="R271" i="3"/>
  <c r="S271" i="3"/>
  <c r="T271" i="3"/>
  <c r="O272" i="3"/>
  <c r="P272" i="3"/>
  <c r="Q272" i="3"/>
  <c r="R272" i="3"/>
  <c r="S272" i="3"/>
  <c r="T272" i="3"/>
  <c r="O273" i="3"/>
  <c r="P273" i="3"/>
  <c r="Q273" i="3"/>
  <c r="R273" i="3"/>
  <c r="S273" i="3"/>
  <c r="T273" i="3"/>
  <c r="O274" i="3"/>
  <c r="P274" i="3"/>
  <c r="Q274" i="3"/>
  <c r="R274" i="3"/>
  <c r="S274" i="3"/>
  <c r="T274" i="3"/>
  <c r="O275" i="3"/>
  <c r="P275" i="3"/>
  <c r="Q275" i="3"/>
  <c r="R275" i="3"/>
  <c r="S275" i="3"/>
  <c r="T275" i="3"/>
  <c r="O276" i="3"/>
  <c r="P276" i="3"/>
  <c r="Q276" i="3"/>
  <c r="R276" i="3"/>
  <c r="S276" i="3"/>
  <c r="T276" i="3"/>
  <c r="O277" i="3"/>
  <c r="P277" i="3"/>
  <c r="Q277" i="3"/>
  <c r="R277" i="3"/>
  <c r="S277" i="3"/>
  <c r="T277" i="3"/>
  <c r="O278" i="3"/>
  <c r="P278" i="3"/>
  <c r="Q278" i="3"/>
  <c r="R278" i="3"/>
  <c r="S278" i="3"/>
  <c r="T278" i="3"/>
  <c r="O279" i="3"/>
  <c r="P279" i="3"/>
  <c r="Q279" i="3"/>
  <c r="R279" i="3"/>
  <c r="S279" i="3"/>
  <c r="T279" i="3"/>
  <c r="O280" i="3"/>
  <c r="P280" i="3"/>
  <c r="Q280" i="3"/>
  <c r="R280" i="3"/>
  <c r="S280" i="3"/>
  <c r="T280" i="3"/>
  <c r="O281" i="3"/>
  <c r="P281" i="3"/>
  <c r="Q281" i="3"/>
  <c r="R281" i="3"/>
  <c r="S281" i="3"/>
  <c r="T281" i="3"/>
  <c r="O282" i="3"/>
  <c r="P282" i="3"/>
  <c r="Q282" i="3"/>
  <c r="R282" i="3"/>
  <c r="S282" i="3"/>
  <c r="T282" i="3"/>
  <c r="O283" i="3"/>
  <c r="P283" i="3"/>
  <c r="Q283" i="3"/>
  <c r="R283" i="3"/>
  <c r="S283" i="3"/>
  <c r="T283" i="3"/>
  <c r="O284" i="3"/>
  <c r="P284" i="3"/>
  <c r="Q284" i="3"/>
  <c r="R284" i="3"/>
  <c r="S284" i="3"/>
  <c r="T284" i="3"/>
  <c r="O285" i="3"/>
  <c r="P285" i="3"/>
  <c r="Q285" i="3"/>
  <c r="R285" i="3"/>
  <c r="S285" i="3"/>
  <c r="T285" i="3"/>
  <c r="O286" i="3"/>
  <c r="P286" i="3"/>
  <c r="Q286" i="3"/>
  <c r="R286" i="3"/>
  <c r="S286" i="3"/>
  <c r="T286" i="3"/>
  <c r="O287" i="3"/>
  <c r="P287" i="3"/>
  <c r="Q287" i="3"/>
  <c r="R287" i="3"/>
  <c r="S287" i="3"/>
  <c r="T287" i="3"/>
  <c r="O288" i="3"/>
  <c r="P288" i="3"/>
  <c r="Q288" i="3"/>
  <c r="R288" i="3"/>
  <c r="S288" i="3"/>
  <c r="T288" i="3"/>
  <c r="O289" i="3"/>
  <c r="P289" i="3"/>
  <c r="Q289" i="3"/>
  <c r="R289" i="3"/>
  <c r="S289" i="3"/>
  <c r="T289" i="3"/>
  <c r="O290" i="3"/>
  <c r="P290" i="3"/>
  <c r="Q290" i="3"/>
  <c r="R290" i="3"/>
  <c r="S290" i="3"/>
  <c r="T290" i="3"/>
  <c r="O291" i="3"/>
  <c r="P291" i="3"/>
  <c r="Q291" i="3"/>
  <c r="R291" i="3"/>
  <c r="S291" i="3"/>
  <c r="T291" i="3"/>
  <c r="O292" i="3"/>
  <c r="P292" i="3"/>
  <c r="Q292" i="3"/>
  <c r="R292" i="3"/>
  <c r="S292" i="3"/>
  <c r="T292" i="3"/>
  <c r="O293" i="3"/>
  <c r="P293" i="3"/>
  <c r="Q293" i="3"/>
  <c r="R293" i="3"/>
  <c r="S293" i="3"/>
  <c r="T293" i="3"/>
  <c r="O294" i="3"/>
  <c r="P294" i="3"/>
  <c r="Q294" i="3"/>
  <c r="R294" i="3"/>
  <c r="S294" i="3"/>
  <c r="T294" i="3"/>
  <c r="O295" i="3"/>
  <c r="P295" i="3"/>
  <c r="Q295" i="3"/>
  <c r="R295" i="3"/>
  <c r="S295" i="3"/>
  <c r="T295" i="3"/>
  <c r="O296" i="3"/>
  <c r="P296" i="3"/>
  <c r="Q296" i="3"/>
  <c r="R296" i="3"/>
  <c r="S296" i="3"/>
  <c r="T296" i="3"/>
  <c r="O297" i="3"/>
  <c r="P297" i="3"/>
  <c r="Q297" i="3"/>
  <c r="R297" i="3"/>
  <c r="S297" i="3"/>
  <c r="T297" i="3"/>
  <c r="O298" i="3"/>
  <c r="P298" i="3"/>
  <c r="Q298" i="3"/>
  <c r="R298" i="3"/>
  <c r="S298" i="3"/>
  <c r="T298" i="3"/>
  <c r="O299" i="3"/>
  <c r="P299" i="3"/>
  <c r="Q299" i="3"/>
  <c r="R299" i="3"/>
  <c r="S299" i="3"/>
  <c r="T299" i="3"/>
  <c r="O300" i="3"/>
  <c r="P300" i="3"/>
  <c r="Q300" i="3"/>
  <c r="R300" i="3"/>
  <c r="S300" i="3"/>
  <c r="T300" i="3"/>
  <c r="O301" i="3"/>
  <c r="P301" i="3"/>
  <c r="Q301" i="3"/>
  <c r="R301" i="3"/>
  <c r="S301" i="3"/>
  <c r="T301" i="3"/>
  <c r="O302" i="3"/>
  <c r="P302" i="3"/>
  <c r="Q302" i="3"/>
  <c r="R302" i="3"/>
  <c r="S302" i="3"/>
  <c r="T302" i="3"/>
  <c r="O303" i="3"/>
  <c r="P303" i="3"/>
  <c r="Q303" i="3"/>
  <c r="R303" i="3"/>
  <c r="S303" i="3"/>
  <c r="T303" i="3"/>
  <c r="O304" i="3"/>
  <c r="P304" i="3"/>
  <c r="Q304" i="3"/>
  <c r="R304" i="3"/>
  <c r="S304" i="3"/>
  <c r="T304" i="3"/>
  <c r="O305" i="3"/>
  <c r="P305" i="3"/>
  <c r="Q305" i="3"/>
  <c r="R305" i="3"/>
  <c r="S305" i="3"/>
  <c r="T305" i="3"/>
  <c r="O306" i="3"/>
  <c r="P306" i="3"/>
  <c r="Q306" i="3"/>
  <c r="R306" i="3"/>
  <c r="S306" i="3"/>
  <c r="T306" i="3"/>
  <c r="O307" i="3"/>
  <c r="P307" i="3"/>
  <c r="Q307" i="3"/>
  <c r="R307" i="3"/>
  <c r="S307" i="3"/>
  <c r="T307" i="3"/>
  <c r="O308" i="3"/>
  <c r="P308" i="3"/>
  <c r="Q308" i="3"/>
  <c r="R308" i="3"/>
  <c r="S308" i="3"/>
  <c r="T308" i="3"/>
  <c r="O309" i="3"/>
  <c r="P309" i="3"/>
  <c r="Q309" i="3"/>
  <c r="R309" i="3"/>
  <c r="S309" i="3"/>
  <c r="T309" i="3"/>
  <c r="O310" i="3"/>
  <c r="P310" i="3"/>
  <c r="Q310" i="3"/>
  <c r="R310" i="3"/>
  <c r="S310" i="3"/>
  <c r="T310" i="3"/>
  <c r="O311" i="3"/>
  <c r="P311" i="3"/>
  <c r="Q311" i="3"/>
  <c r="R311" i="3"/>
  <c r="S311" i="3"/>
  <c r="T311" i="3"/>
  <c r="O312" i="3"/>
  <c r="P312" i="3"/>
  <c r="Q312" i="3"/>
  <c r="R312" i="3"/>
  <c r="S312" i="3"/>
  <c r="T312" i="3"/>
  <c r="O313" i="3"/>
  <c r="P313" i="3"/>
  <c r="Q313" i="3"/>
  <c r="R313" i="3"/>
  <c r="S313" i="3"/>
  <c r="T313" i="3"/>
  <c r="O314" i="3"/>
  <c r="P314" i="3"/>
  <c r="Q314" i="3"/>
  <c r="R314" i="3"/>
  <c r="S314" i="3"/>
  <c r="T314" i="3"/>
  <c r="O315" i="3"/>
  <c r="P315" i="3"/>
  <c r="Q315" i="3"/>
  <c r="R315" i="3"/>
  <c r="S315" i="3"/>
  <c r="T315" i="3"/>
  <c r="O316" i="3"/>
  <c r="P316" i="3"/>
  <c r="Q316" i="3"/>
  <c r="R316" i="3"/>
  <c r="S316" i="3"/>
  <c r="T316" i="3"/>
  <c r="O317" i="3"/>
  <c r="P317" i="3"/>
  <c r="Q317" i="3"/>
  <c r="R317" i="3"/>
  <c r="S317" i="3"/>
  <c r="T317" i="3"/>
  <c r="O318" i="3"/>
  <c r="P318" i="3"/>
  <c r="Q318" i="3"/>
  <c r="R318" i="3"/>
  <c r="S318" i="3"/>
  <c r="T318" i="3"/>
  <c r="O319" i="3"/>
  <c r="P319" i="3"/>
  <c r="Q319" i="3"/>
  <c r="R319" i="3"/>
  <c r="S319" i="3"/>
  <c r="T319" i="3"/>
  <c r="O320" i="3"/>
  <c r="P320" i="3"/>
  <c r="Q320" i="3"/>
  <c r="R320" i="3"/>
  <c r="S320" i="3"/>
  <c r="T320" i="3"/>
  <c r="O321" i="3"/>
  <c r="P321" i="3"/>
  <c r="Q321" i="3"/>
  <c r="R321" i="3"/>
  <c r="S321" i="3"/>
  <c r="T321" i="3"/>
  <c r="R2" i="3"/>
  <c r="S2" i="3"/>
  <c r="T2" i="3"/>
  <c r="Q2" i="3"/>
  <c r="P2" i="3"/>
  <c r="O2" i="3"/>
</calcChain>
</file>

<file path=xl/sharedStrings.xml><?xml version="1.0" encoding="utf-8"?>
<sst xmlns="http://schemas.openxmlformats.org/spreadsheetml/2006/main" count="3010" uniqueCount="132">
  <si>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</si>
  <si>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</si>
  <si>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</si>
  <si>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</si>
  <si>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</si>
  <si>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</si>
  <si>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</si>
  <si>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</si>
  <si>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</si>
  <si>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</si>
  <si>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</si>
  <si>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</si>
  <si>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</si>
  <si>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</si>
  <si>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</si>
  <si>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</si>
  <si>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</si>
  <si>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</si>
  <si>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</si>
  <si>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</si>
  <si>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</si>
  <si>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</si>
  <si>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</si>
  <si>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</si>
  <si>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</si>
  <si>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</si>
  <si>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</si>
  <si>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</si>
  <si>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</si>
  <si>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</si>
  <si>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</si>
  <si>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</si>
  <si>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</si>
  <si>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</si>
  <si>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</si>
  <si>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</si>
  <si>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</si>
  <si>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</si>
  <si>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</si>
  <si>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</si>
  <si>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</si>
  <si>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</si>
  <si>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</si>
  <si>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</si>
  <si>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</si>
  <si>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</si>
  <si>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</si>
  <si>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</si>
  <si>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</si>
  <si>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</si>
  <si>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</si>
  <si>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</si>
  <si>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</si>
  <si>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</si>
  <si>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</si>
  <si>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</si>
  <si>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</si>
  <si>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</si>
  <si>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</si>
  <si>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</si>
  <si>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</si>
  <si>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</si>
  <si>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</si>
  <si>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</si>
  <si>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</si>
  <si>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</si>
  <si>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</si>
  <si>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</si>
  <si>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</si>
  <si>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</si>
  <si>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</si>
  <si>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</si>
  <si>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</si>
  <si>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</si>
  <si>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</si>
  <si>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</si>
  <si>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</si>
  <si>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</si>
  <si>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</si>
  <si>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</si>
  <si>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</si>
  <si>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</si>
  <si>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</si>
  <si>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</si>
  <si>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</si>
  <si>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</si>
  <si>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</si>
  <si>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</si>
  <si>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</si>
  <si>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</si>
  <si>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</si>
  <si>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</si>
  <si>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</si>
  <si>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</si>
  <si>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</si>
  <si>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</si>
  <si>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</si>
  <si>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</si>
  <si>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</si>
  <si>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</si>
  <si>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</si>
  <si>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</si>
  <si>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</si>
  <si>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</si>
  <si>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</si>
  <si>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type_HighStreet</t>
  </si>
  <si>
    <t>type_Airport</t>
  </si>
  <si>
    <t>type_Mall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</si>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</sst>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164" fontId="1" fillId="0" borderId="0" xfId="1" applyNumberForma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</cellXfs>
  <cellStyles count="2">
    <cellStyle name="Normal" xfId="0" builtinId="0"/>
    <cellStyle name="Normal 2" xfId="1" xr:uid="{40651E0A-CD18-44F4-AD0C-0FB7C1B573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8664-766A-419F-9BFF-CC2C426C4CEB}">
  <dimension ref="A1:N321"/>
  <sheetViews>
    <sheetView topLeftCell="B303" workbookViewId="0">
      <selection activeCell="B1" sqref="A1:N321"/>
    </sheetView>
  </sheetViews>
  <sheetFormatPr defaultRowHeight="14.5"/>
  <sheetData>
    <row r="1" spans="1:14" ht="5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3">
        <v>45658</v>
      </c>
      <c r="C2" s="1" t="s">
        <v>15</v>
      </c>
      <c r="D2" s="1" t="s">
        <v>16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</row>
    <row r="3" spans="1:14">
      <c r="A3" s="1" t="s">
        <v>14</v>
      </c>
      <c r="B3" s="3">
        <v>45689</v>
      </c>
      <c r="C3" s="1" t="s">
        <v>15</v>
      </c>
      <c r="D3" s="1" t="s">
        <v>16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</row>
    <row r="4" spans="1:14">
      <c r="A4" s="1" t="s">
        <v>14</v>
      </c>
      <c r="B4" s="3">
        <v>45717</v>
      </c>
      <c r="C4" s="1" t="s">
        <v>15</v>
      </c>
      <c r="D4" s="1" t="s">
        <v>16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</row>
    <row r="5" spans="1:14">
      <c r="A5" s="1" t="s">
        <v>14</v>
      </c>
      <c r="B5" s="3">
        <v>45748</v>
      </c>
      <c r="C5" s="1" t="s">
        <v>15</v>
      </c>
      <c r="D5" s="1" t="s">
        <v>16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</row>
    <row r="6" spans="1:14">
      <c r="A6" s="1" t="s">
        <v>17</v>
      </c>
      <c r="B6" s="3">
        <v>45658</v>
      </c>
      <c r="C6" s="1" t="s">
        <v>15</v>
      </c>
      <c r="D6" s="1" t="s">
        <v>18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</row>
    <row r="7" spans="1:14">
      <c r="A7" s="1" t="s">
        <v>17</v>
      </c>
      <c r="B7" s="3">
        <v>45689</v>
      </c>
      <c r="C7" s="1" t="s">
        <v>15</v>
      </c>
      <c r="D7" s="1" t="s">
        <v>18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</row>
    <row r="8" spans="1:14">
      <c r="A8" s="1" t="s">
        <v>17</v>
      </c>
      <c r="B8" s="3">
        <v>45717</v>
      </c>
      <c r="C8" s="1" t="s">
        <v>15</v>
      </c>
      <c r="D8" s="1" t="s">
        <v>18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</row>
    <row r="9" spans="1:14">
      <c r="A9" s="1" t="s">
        <v>17</v>
      </c>
      <c r="B9" s="3">
        <v>45748</v>
      </c>
      <c r="C9" s="1" t="s">
        <v>15</v>
      </c>
      <c r="D9" s="1" t="s">
        <v>18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</row>
    <row r="10" spans="1:14">
      <c r="A10" s="1" t="s">
        <v>19</v>
      </c>
      <c r="B10" s="3">
        <v>45658</v>
      </c>
      <c r="C10" s="1" t="s">
        <v>20</v>
      </c>
      <c r="D10" s="1" t="s">
        <v>21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</row>
    <row r="11" spans="1:14">
      <c r="A11" s="1" t="s">
        <v>19</v>
      </c>
      <c r="B11" s="3">
        <v>45689</v>
      </c>
      <c r="C11" s="1" t="s">
        <v>20</v>
      </c>
      <c r="D11" s="1" t="s">
        <v>21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</row>
    <row r="12" spans="1:14">
      <c r="A12" s="1" t="s">
        <v>19</v>
      </c>
      <c r="B12" s="3">
        <v>45717</v>
      </c>
      <c r="C12" s="1" t="s">
        <v>20</v>
      </c>
      <c r="D12" s="1" t="s">
        <v>21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</row>
    <row r="13" spans="1:14">
      <c r="A13" s="1" t="s">
        <v>19</v>
      </c>
      <c r="B13" s="3">
        <v>45748</v>
      </c>
      <c r="C13" s="1" t="s">
        <v>20</v>
      </c>
      <c r="D13" s="1" t="s">
        <v>21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</row>
    <row r="14" spans="1:14">
      <c r="A14" s="1" t="s">
        <v>22</v>
      </c>
      <c r="B14" s="3">
        <v>45658</v>
      </c>
      <c r="C14" s="1" t="s">
        <v>15</v>
      </c>
      <c r="D14" s="1" t="s">
        <v>16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</row>
    <row r="15" spans="1:14">
      <c r="A15" s="1" t="s">
        <v>22</v>
      </c>
      <c r="B15" s="3">
        <v>45689</v>
      </c>
      <c r="C15" s="1" t="s">
        <v>15</v>
      </c>
      <c r="D15" s="1" t="s">
        <v>16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</row>
    <row r="16" spans="1:14">
      <c r="A16" s="1" t="s">
        <v>22</v>
      </c>
      <c r="B16" s="3">
        <v>45717</v>
      </c>
      <c r="C16" s="1" t="s">
        <v>15</v>
      </c>
      <c r="D16" s="1" t="s">
        <v>16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</row>
    <row r="17" spans="1:14">
      <c r="A17" s="1" t="s">
        <v>22</v>
      </c>
      <c r="B17" s="3">
        <v>45748</v>
      </c>
      <c r="C17" s="1" t="s">
        <v>15</v>
      </c>
      <c r="D17" s="1" t="s">
        <v>16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</row>
    <row r="18" spans="1:14">
      <c r="A18" s="1" t="s">
        <v>23</v>
      </c>
      <c r="B18" s="3">
        <v>45658</v>
      </c>
      <c r="C18" s="1" t="s">
        <v>24</v>
      </c>
      <c r="D18" s="1" t="s">
        <v>16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</row>
    <row r="19" spans="1:14">
      <c r="A19" s="1" t="s">
        <v>23</v>
      </c>
      <c r="B19" s="3">
        <v>45689</v>
      </c>
      <c r="C19" s="1" t="s">
        <v>24</v>
      </c>
      <c r="D19" s="1" t="s">
        <v>16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</row>
    <row r="20" spans="1:14">
      <c r="A20" s="1" t="s">
        <v>23</v>
      </c>
      <c r="B20" s="3">
        <v>45717</v>
      </c>
      <c r="C20" s="1" t="s">
        <v>24</v>
      </c>
      <c r="D20" s="1" t="s">
        <v>16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</row>
    <row r="21" spans="1:14">
      <c r="A21" s="1" t="s">
        <v>23</v>
      </c>
      <c r="B21" s="3">
        <v>45748</v>
      </c>
      <c r="C21" s="1" t="s">
        <v>24</v>
      </c>
      <c r="D21" s="1" t="s">
        <v>16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</row>
    <row r="22" spans="1:14">
      <c r="A22" s="1" t="s">
        <v>25</v>
      </c>
      <c r="B22" s="3">
        <v>45658</v>
      </c>
      <c r="C22" s="1" t="s">
        <v>20</v>
      </c>
      <c r="D22" s="1" t="s">
        <v>16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</row>
    <row r="23" spans="1:14">
      <c r="A23" s="1" t="s">
        <v>25</v>
      </c>
      <c r="B23" s="3">
        <v>45689</v>
      </c>
      <c r="C23" s="1" t="s">
        <v>20</v>
      </c>
      <c r="D23" s="1" t="s">
        <v>16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</row>
    <row r="24" spans="1:14">
      <c r="A24" s="1" t="s">
        <v>25</v>
      </c>
      <c r="B24" s="3">
        <v>45717</v>
      </c>
      <c r="C24" s="1" t="s">
        <v>20</v>
      </c>
      <c r="D24" s="1" t="s">
        <v>16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</row>
    <row r="25" spans="1:14">
      <c r="A25" s="1" t="s">
        <v>25</v>
      </c>
      <c r="B25" s="3">
        <v>45748</v>
      </c>
      <c r="C25" s="1" t="s">
        <v>20</v>
      </c>
      <c r="D25" s="1" t="s">
        <v>16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</row>
    <row r="26" spans="1:14">
      <c r="A26" s="1" t="s">
        <v>26</v>
      </c>
      <c r="B26" s="3">
        <v>45658</v>
      </c>
      <c r="C26" s="1" t="s">
        <v>27</v>
      </c>
      <c r="D26" s="1" t="s">
        <v>28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</row>
    <row r="27" spans="1:14">
      <c r="A27" s="1" t="s">
        <v>26</v>
      </c>
      <c r="B27" s="3">
        <v>45689</v>
      </c>
      <c r="C27" s="1" t="s">
        <v>27</v>
      </c>
      <c r="D27" s="1" t="s">
        <v>28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</row>
    <row r="28" spans="1:14">
      <c r="A28" s="1" t="s">
        <v>26</v>
      </c>
      <c r="B28" s="3">
        <v>45717</v>
      </c>
      <c r="C28" s="1" t="s">
        <v>27</v>
      </c>
      <c r="D28" s="1" t="s">
        <v>28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</row>
    <row r="29" spans="1:14">
      <c r="A29" s="1" t="s">
        <v>26</v>
      </c>
      <c r="B29" s="3">
        <v>45748</v>
      </c>
      <c r="C29" s="1" t="s">
        <v>27</v>
      </c>
      <c r="D29" s="1" t="s">
        <v>28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</row>
    <row r="30" spans="1:14">
      <c r="A30" s="1" t="s">
        <v>29</v>
      </c>
      <c r="B30" s="3">
        <v>45658</v>
      </c>
      <c r="C30" s="1" t="s">
        <v>15</v>
      </c>
      <c r="D30" s="1" t="s">
        <v>16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</row>
    <row r="31" spans="1:14">
      <c r="A31" s="1" t="s">
        <v>29</v>
      </c>
      <c r="B31" s="3">
        <v>45689</v>
      </c>
      <c r="C31" s="1" t="s">
        <v>15</v>
      </c>
      <c r="D31" s="1" t="s">
        <v>16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</row>
    <row r="32" spans="1:14">
      <c r="A32" s="1" t="s">
        <v>29</v>
      </c>
      <c r="B32" s="3">
        <v>45717</v>
      </c>
      <c r="C32" s="1" t="s">
        <v>15</v>
      </c>
      <c r="D32" s="1" t="s">
        <v>16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</row>
    <row r="33" spans="1:14">
      <c r="A33" s="1" t="s">
        <v>29</v>
      </c>
      <c r="B33" s="3">
        <v>45748</v>
      </c>
      <c r="C33" s="1" t="s">
        <v>15</v>
      </c>
      <c r="D33" s="1" t="s">
        <v>16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</row>
    <row r="34" spans="1:14">
      <c r="A34" s="1" t="s">
        <v>30</v>
      </c>
      <c r="B34" s="3">
        <v>45658</v>
      </c>
      <c r="C34" s="1" t="s">
        <v>20</v>
      </c>
      <c r="D34" s="1" t="s">
        <v>16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</row>
    <row r="35" spans="1:14">
      <c r="A35" s="1" t="s">
        <v>30</v>
      </c>
      <c r="B35" s="3">
        <v>45689</v>
      </c>
      <c r="C35" s="1" t="s">
        <v>20</v>
      </c>
      <c r="D35" s="1" t="s">
        <v>16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/>
      <c r="M35" s="1">
        <v>799477.76000000001</v>
      </c>
      <c r="N35" s="1">
        <v>164974.41</v>
      </c>
    </row>
    <row r="36" spans="1:14">
      <c r="A36" s="1" t="s">
        <v>30</v>
      </c>
      <c r="B36" s="3">
        <v>45717</v>
      </c>
      <c r="C36" s="1" t="s">
        <v>20</v>
      </c>
      <c r="D36" s="1" t="s">
        <v>16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</row>
    <row r="37" spans="1:14">
      <c r="A37" s="1" t="s">
        <v>30</v>
      </c>
      <c r="B37" s="3">
        <v>45748</v>
      </c>
      <c r="C37" s="1" t="s">
        <v>20</v>
      </c>
      <c r="D37" s="1" t="s">
        <v>16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</row>
    <row r="38" spans="1:14">
      <c r="A38" s="1" t="s">
        <v>31</v>
      </c>
      <c r="B38" s="3">
        <v>45658</v>
      </c>
      <c r="C38" s="1" t="s">
        <v>20</v>
      </c>
      <c r="D38" s="1" t="s">
        <v>28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</row>
    <row r="39" spans="1:14">
      <c r="A39" s="1" t="s">
        <v>31</v>
      </c>
      <c r="B39" s="3">
        <v>45689</v>
      </c>
      <c r="C39" s="1" t="s">
        <v>20</v>
      </c>
      <c r="D39" s="1" t="s">
        <v>28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</row>
    <row r="40" spans="1:14">
      <c r="A40" s="1" t="s">
        <v>31</v>
      </c>
      <c r="B40" s="3">
        <v>45717</v>
      </c>
      <c r="C40" s="1" t="s">
        <v>20</v>
      </c>
      <c r="D40" s="1" t="s">
        <v>28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</row>
    <row r="41" spans="1:14">
      <c r="A41" s="1" t="s">
        <v>31</v>
      </c>
      <c r="B41" s="3">
        <v>45748</v>
      </c>
      <c r="C41" s="1" t="s">
        <v>20</v>
      </c>
      <c r="D41" s="1" t="s">
        <v>28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</row>
    <row r="42" spans="1:14">
      <c r="A42" s="1" t="s">
        <v>32</v>
      </c>
      <c r="B42" s="3">
        <v>45658</v>
      </c>
      <c r="C42" s="1" t="s">
        <v>15</v>
      </c>
      <c r="D42" s="1" t="s">
        <v>28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</row>
    <row r="43" spans="1:14">
      <c r="A43" s="1" t="s">
        <v>32</v>
      </c>
      <c r="B43" s="3">
        <v>45689</v>
      </c>
      <c r="C43" s="1" t="s">
        <v>15</v>
      </c>
      <c r="D43" s="1" t="s">
        <v>28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</row>
    <row r="44" spans="1:14">
      <c r="A44" s="1" t="s">
        <v>32</v>
      </c>
      <c r="B44" s="3">
        <v>45717</v>
      </c>
      <c r="C44" s="1" t="s">
        <v>15</v>
      </c>
      <c r="D44" s="1" t="s">
        <v>28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</row>
    <row r="45" spans="1:14">
      <c r="A45" s="1" t="s">
        <v>32</v>
      </c>
      <c r="B45" s="3">
        <v>45748</v>
      </c>
      <c r="C45" s="1" t="s">
        <v>15</v>
      </c>
      <c r="D45" s="1" t="s">
        <v>28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</row>
    <row r="46" spans="1:14">
      <c r="A46" s="1" t="s">
        <v>33</v>
      </c>
      <c r="B46" s="3">
        <v>45658</v>
      </c>
      <c r="C46" s="1" t="s">
        <v>27</v>
      </c>
      <c r="D46" s="1" t="s">
        <v>16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</row>
    <row r="47" spans="1:14">
      <c r="A47" s="1" t="s">
        <v>33</v>
      </c>
      <c r="B47" s="3">
        <v>45689</v>
      </c>
      <c r="C47" s="1" t="s">
        <v>27</v>
      </c>
      <c r="D47" s="1" t="s">
        <v>16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</row>
    <row r="48" spans="1:14">
      <c r="A48" s="1" t="s">
        <v>33</v>
      </c>
      <c r="B48" s="3">
        <v>45717</v>
      </c>
      <c r="C48" s="1" t="s">
        <v>27</v>
      </c>
      <c r="D48" s="1" t="s">
        <v>16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</row>
    <row r="49" spans="1:14">
      <c r="A49" s="1" t="s">
        <v>33</v>
      </c>
      <c r="B49" s="3">
        <v>45748</v>
      </c>
      <c r="C49" s="1" t="s">
        <v>27</v>
      </c>
      <c r="D49" s="1" t="s">
        <v>16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</row>
    <row r="50" spans="1:14">
      <c r="A50" s="1" t="s">
        <v>34</v>
      </c>
      <c r="B50" s="3">
        <v>45658</v>
      </c>
      <c r="C50" s="1" t="s">
        <v>20</v>
      </c>
      <c r="D50" s="1" t="s">
        <v>28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</row>
    <row r="51" spans="1:14">
      <c r="A51" s="1" t="s">
        <v>34</v>
      </c>
      <c r="B51" s="3">
        <v>45689</v>
      </c>
      <c r="C51" s="1" t="s">
        <v>20</v>
      </c>
      <c r="D51" s="1" t="s">
        <v>28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</row>
    <row r="52" spans="1:14">
      <c r="A52" s="1" t="s">
        <v>34</v>
      </c>
      <c r="B52" s="3">
        <v>45717</v>
      </c>
      <c r="C52" s="1" t="s">
        <v>20</v>
      </c>
      <c r="D52" s="1" t="s">
        <v>28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</row>
    <row r="53" spans="1:14">
      <c r="A53" s="1" t="s">
        <v>34</v>
      </c>
      <c r="B53" s="3">
        <v>45748</v>
      </c>
      <c r="C53" s="1" t="s">
        <v>20</v>
      </c>
      <c r="D53" s="1" t="s">
        <v>28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</row>
    <row r="54" spans="1:14">
      <c r="A54" s="1" t="s">
        <v>35</v>
      </c>
      <c r="B54" s="3">
        <v>45658</v>
      </c>
      <c r="C54" s="1" t="s">
        <v>27</v>
      </c>
      <c r="D54" s="1" t="s">
        <v>18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</row>
    <row r="55" spans="1:14">
      <c r="A55" s="1" t="s">
        <v>35</v>
      </c>
      <c r="B55" s="3">
        <v>45689</v>
      </c>
      <c r="C55" s="1" t="s">
        <v>27</v>
      </c>
      <c r="D55" s="1" t="s">
        <v>18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</row>
    <row r="56" spans="1:14">
      <c r="A56" s="1" t="s">
        <v>35</v>
      </c>
      <c r="B56" s="3">
        <v>45717</v>
      </c>
      <c r="C56" s="1" t="s">
        <v>27</v>
      </c>
      <c r="D56" s="1" t="s">
        <v>18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</row>
    <row r="57" spans="1:14">
      <c r="A57" s="1" t="s">
        <v>35</v>
      </c>
      <c r="B57" s="3">
        <v>45748</v>
      </c>
      <c r="C57" s="1" t="s">
        <v>27</v>
      </c>
      <c r="D57" s="1" t="s">
        <v>18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</row>
    <row r="58" spans="1:14">
      <c r="A58" s="1" t="s">
        <v>36</v>
      </c>
      <c r="B58" s="3">
        <v>45658</v>
      </c>
      <c r="C58" s="1" t="s">
        <v>15</v>
      </c>
      <c r="D58" s="1" t="s">
        <v>21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</row>
    <row r="59" spans="1:14">
      <c r="A59" s="1" t="s">
        <v>36</v>
      </c>
      <c r="B59" s="3">
        <v>45689</v>
      </c>
      <c r="C59" s="1" t="s">
        <v>15</v>
      </c>
      <c r="D59" s="1" t="s">
        <v>21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</row>
    <row r="60" spans="1:14">
      <c r="A60" s="1" t="s">
        <v>36</v>
      </c>
      <c r="B60" s="3">
        <v>45717</v>
      </c>
      <c r="C60" s="1" t="s">
        <v>15</v>
      </c>
      <c r="D60" s="1" t="s">
        <v>21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</row>
    <row r="61" spans="1:14">
      <c r="A61" s="1" t="s">
        <v>36</v>
      </c>
      <c r="B61" s="3">
        <v>45748</v>
      </c>
      <c r="C61" s="1" t="s">
        <v>15</v>
      </c>
      <c r="D61" s="1" t="s">
        <v>21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</row>
    <row r="62" spans="1:14">
      <c r="A62" s="1" t="s">
        <v>37</v>
      </c>
      <c r="B62" s="3">
        <v>45658</v>
      </c>
      <c r="C62" s="1" t="s">
        <v>24</v>
      </c>
      <c r="D62" s="1" t="s">
        <v>18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</row>
    <row r="63" spans="1:14">
      <c r="A63" s="1" t="s">
        <v>37</v>
      </c>
      <c r="B63" s="3">
        <v>45689</v>
      </c>
      <c r="C63" s="1" t="s">
        <v>24</v>
      </c>
      <c r="D63" s="1" t="s">
        <v>18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</row>
    <row r="64" spans="1:14">
      <c r="A64" s="1" t="s">
        <v>37</v>
      </c>
      <c r="B64" s="3">
        <v>45717</v>
      </c>
      <c r="C64" s="1" t="s">
        <v>24</v>
      </c>
      <c r="D64" s="1" t="s">
        <v>18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</row>
    <row r="65" spans="1:14">
      <c r="A65" s="1" t="s">
        <v>37</v>
      </c>
      <c r="B65" s="3">
        <v>45748</v>
      </c>
      <c r="C65" s="1" t="s">
        <v>24</v>
      </c>
      <c r="D65" s="1" t="s">
        <v>18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</row>
    <row r="66" spans="1:14">
      <c r="A66" s="1" t="s">
        <v>38</v>
      </c>
      <c r="B66" s="3">
        <v>45658</v>
      </c>
      <c r="C66" s="1" t="s">
        <v>27</v>
      </c>
      <c r="D66" s="1" t="s">
        <v>18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</row>
    <row r="67" spans="1:14">
      <c r="A67" s="1" t="s">
        <v>38</v>
      </c>
      <c r="B67" s="3">
        <v>45689</v>
      </c>
      <c r="C67" s="1" t="s">
        <v>27</v>
      </c>
      <c r="D67" s="1" t="s">
        <v>18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</row>
    <row r="68" spans="1:14">
      <c r="A68" s="1" t="s">
        <v>38</v>
      </c>
      <c r="B68" s="3">
        <v>45717</v>
      </c>
      <c r="C68" s="1" t="s">
        <v>27</v>
      </c>
      <c r="D68" s="1" t="s">
        <v>18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</row>
    <row r="69" spans="1:14">
      <c r="A69" s="1" t="s">
        <v>38</v>
      </c>
      <c r="B69" s="3">
        <v>45748</v>
      </c>
      <c r="C69" s="1" t="s">
        <v>27</v>
      </c>
      <c r="D69" s="1" t="s">
        <v>18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</row>
    <row r="70" spans="1:14">
      <c r="A70" s="1" t="s">
        <v>39</v>
      </c>
      <c r="B70" s="3">
        <v>45658</v>
      </c>
      <c r="C70" s="1" t="s">
        <v>15</v>
      </c>
      <c r="D70" s="1" t="s">
        <v>18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</row>
    <row r="71" spans="1:14">
      <c r="A71" s="1" t="s">
        <v>39</v>
      </c>
      <c r="B71" s="3">
        <v>45689</v>
      </c>
      <c r="C71" s="1" t="s">
        <v>15</v>
      </c>
      <c r="D71" s="1" t="s">
        <v>18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</row>
    <row r="72" spans="1:14">
      <c r="A72" s="1" t="s">
        <v>39</v>
      </c>
      <c r="B72" s="3">
        <v>45717</v>
      </c>
      <c r="C72" s="1" t="s">
        <v>15</v>
      </c>
      <c r="D72" s="1" t="s">
        <v>18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</row>
    <row r="73" spans="1:14">
      <c r="A73" s="1" t="s">
        <v>39</v>
      </c>
      <c r="B73" s="3">
        <v>45748</v>
      </c>
      <c r="C73" s="1" t="s">
        <v>15</v>
      </c>
      <c r="D73" s="1" t="s">
        <v>18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 s="1"/>
      <c r="K73" s="1">
        <v>0</v>
      </c>
      <c r="L73" s="1">
        <v>3.5</v>
      </c>
      <c r="M73" s="1">
        <v>674774.09</v>
      </c>
      <c r="N73" s="1">
        <v>141917.59</v>
      </c>
    </row>
    <row r="74" spans="1:14">
      <c r="A74" s="1" t="s">
        <v>40</v>
      </c>
      <c r="B74" s="3">
        <v>45658</v>
      </c>
      <c r="C74" s="1" t="s">
        <v>15</v>
      </c>
      <c r="D74" s="1" t="s">
        <v>16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</row>
    <row r="75" spans="1:14">
      <c r="A75" s="1" t="s">
        <v>40</v>
      </c>
      <c r="B75" s="3">
        <v>45689</v>
      </c>
      <c r="C75" s="1" t="s">
        <v>15</v>
      </c>
      <c r="D75" s="1" t="s">
        <v>16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</row>
    <row r="76" spans="1:14">
      <c r="A76" s="1" t="s">
        <v>40</v>
      </c>
      <c r="B76" s="3">
        <v>45717</v>
      </c>
      <c r="C76" s="1" t="s">
        <v>15</v>
      </c>
      <c r="D76" s="1" t="s">
        <v>16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</row>
    <row r="77" spans="1:14">
      <c r="A77" s="1" t="s">
        <v>40</v>
      </c>
      <c r="B77" s="3">
        <v>45748</v>
      </c>
      <c r="C77" s="1" t="s">
        <v>15</v>
      </c>
      <c r="D77" s="1" t="s">
        <v>16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</row>
    <row r="78" spans="1:14">
      <c r="A78" s="1" t="s">
        <v>41</v>
      </c>
      <c r="B78" s="3">
        <v>45658</v>
      </c>
      <c r="C78" s="1" t="s">
        <v>24</v>
      </c>
      <c r="D78" s="1" t="s">
        <v>18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</row>
    <row r="79" spans="1:14">
      <c r="A79" s="1" t="s">
        <v>41</v>
      </c>
      <c r="B79" s="3">
        <v>45689</v>
      </c>
      <c r="C79" s="1" t="s">
        <v>24</v>
      </c>
      <c r="D79" s="1" t="s">
        <v>18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</row>
    <row r="80" spans="1:14">
      <c r="A80" s="1" t="s">
        <v>41</v>
      </c>
      <c r="B80" s="3">
        <v>45717</v>
      </c>
      <c r="C80" s="1" t="s">
        <v>24</v>
      </c>
      <c r="D80" s="1" t="s">
        <v>18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</row>
    <row r="81" spans="1:14">
      <c r="A81" s="1" t="s">
        <v>41</v>
      </c>
      <c r="B81" s="3">
        <v>45748</v>
      </c>
      <c r="C81" s="1" t="s">
        <v>24</v>
      </c>
      <c r="D81" s="1" t="s">
        <v>18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</row>
    <row r="82" spans="1:14">
      <c r="A82" s="1" t="s">
        <v>42</v>
      </c>
      <c r="B82" s="3">
        <v>45658</v>
      </c>
      <c r="C82" s="1" t="s">
        <v>27</v>
      </c>
      <c r="D82" s="1" t="s">
        <v>28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</row>
    <row r="83" spans="1:14">
      <c r="A83" s="1" t="s">
        <v>42</v>
      </c>
      <c r="B83" s="3">
        <v>45689</v>
      </c>
      <c r="C83" s="1" t="s">
        <v>27</v>
      </c>
      <c r="D83" s="1" t="s">
        <v>28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</row>
    <row r="84" spans="1:14">
      <c r="A84" s="1" t="s">
        <v>42</v>
      </c>
      <c r="B84" s="3">
        <v>45717</v>
      </c>
      <c r="C84" s="1" t="s">
        <v>27</v>
      </c>
      <c r="D84" s="1" t="s">
        <v>28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</row>
    <row r="85" spans="1:14">
      <c r="A85" s="1" t="s">
        <v>42</v>
      </c>
      <c r="B85" s="3">
        <v>45748</v>
      </c>
      <c r="C85" s="1" t="s">
        <v>27</v>
      </c>
      <c r="D85" s="1" t="s">
        <v>28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</row>
    <row r="86" spans="1:14">
      <c r="A86" s="1" t="s">
        <v>43</v>
      </c>
      <c r="B86" s="3">
        <v>45658</v>
      </c>
      <c r="C86" s="1" t="s">
        <v>27</v>
      </c>
      <c r="D86" s="1" t="s">
        <v>18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</row>
    <row r="87" spans="1:14">
      <c r="A87" s="1" t="s">
        <v>43</v>
      </c>
      <c r="B87" s="3">
        <v>45689</v>
      </c>
      <c r="C87" s="1" t="s">
        <v>27</v>
      </c>
      <c r="D87" s="1" t="s">
        <v>18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/>
      <c r="M87" s="1">
        <v>611766.72</v>
      </c>
      <c r="N87" s="1">
        <v>88275.61</v>
      </c>
    </row>
    <row r="88" spans="1:14">
      <c r="A88" s="1" t="s">
        <v>43</v>
      </c>
      <c r="B88" s="3">
        <v>45717</v>
      </c>
      <c r="C88" s="1" t="s">
        <v>27</v>
      </c>
      <c r="D88" s="1" t="s">
        <v>18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</row>
    <row r="89" spans="1:14">
      <c r="A89" s="1" t="s">
        <v>43</v>
      </c>
      <c r="B89" s="3">
        <v>45748</v>
      </c>
      <c r="C89" s="1" t="s">
        <v>27</v>
      </c>
      <c r="D89" s="1" t="s">
        <v>18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</row>
    <row r="90" spans="1:14">
      <c r="A90" s="1" t="s">
        <v>44</v>
      </c>
      <c r="B90" s="3">
        <v>45658</v>
      </c>
      <c r="C90" s="1" t="s">
        <v>24</v>
      </c>
      <c r="D90" s="1" t="s">
        <v>28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</row>
    <row r="91" spans="1:14">
      <c r="A91" s="1" t="s">
        <v>44</v>
      </c>
      <c r="B91" s="3">
        <v>45689</v>
      </c>
      <c r="C91" s="1" t="s">
        <v>24</v>
      </c>
      <c r="D91" s="1" t="s">
        <v>28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</row>
    <row r="92" spans="1:14">
      <c r="A92" s="1" t="s">
        <v>44</v>
      </c>
      <c r="B92" s="3">
        <v>45717</v>
      </c>
      <c r="C92" s="1" t="s">
        <v>24</v>
      </c>
      <c r="D92" s="1" t="s">
        <v>28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</row>
    <row r="93" spans="1:14">
      <c r="A93" s="1" t="s">
        <v>44</v>
      </c>
      <c r="B93" s="3">
        <v>45748</v>
      </c>
      <c r="C93" s="1" t="s">
        <v>24</v>
      </c>
      <c r="D93" s="1" t="s">
        <v>28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</row>
    <row r="94" spans="1:14">
      <c r="A94" s="1" t="s">
        <v>45</v>
      </c>
      <c r="B94" s="3">
        <v>45658</v>
      </c>
      <c r="C94" s="1" t="s">
        <v>27</v>
      </c>
      <c r="D94" s="1" t="s">
        <v>16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</row>
    <row r="95" spans="1:14">
      <c r="A95" s="1" t="s">
        <v>45</v>
      </c>
      <c r="B95" s="3">
        <v>45689</v>
      </c>
      <c r="C95" s="1" t="s">
        <v>27</v>
      </c>
      <c r="D95" s="1" t="s">
        <v>16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</row>
    <row r="96" spans="1:14">
      <c r="A96" s="1" t="s">
        <v>45</v>
      </c>
      <c r="B96" s="3">
        <v>45717</v>
      </c>
      <c r="C96" s="1" t="s">
        <v>27</v>
      </c>
      <c r="D96" s="1" t="s">
        <v>16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</row>
    <row r="97" spans="1:14">
      <c r="A97" s="1" t="s">
        <v>45</v>
      </c>
      <c r="B97" s="3">
        <v>45748</v>
      </c>
      <c r="C97" s="1" t="s">
        <v>27</v>
      </c>
      <c r="D97" s="1" t="s">
        <v>16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</row>
    <row r="98" spans="1:14">
      <c r="A98" s="1" t="s">
        <v>46</v>
      </c>
      <c r="B98" s="3">
        <v>45658</v>
      </c>
      <c r="C98" s="1" t="s">
        <v>27</v>
      </c>
      <c r="D98" s="1" t="s">
        <v>28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</row>
    <row r="99" spans="1:14">
      <c r="A99" s="1" t="s">
        <v>46</v>
      </c>
      <c r="B99" s="3">
        <v>45689</v>
      </c>
      <c r="C99" s="1" t="s">
        <v>27</v>
      </c>
      <c r="D99" s="1" t="s">
        <v>28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</row>
    <row r="100" spans="1:14">
      <c r="A100" s="1" t="s">
        <v>46</v>
      </c>
      <c r="B100" s="3">
        <v>45717</v>
      </c>
      <c r="C100" s="1" t="s">
        <v>27</v>
      </c>
      <c r="D100" s="1" t="s">
        <v>28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 s="1"/>
      <c r="K100" s="1">
        <v>0</v>
      </c>
      <c r="L100" s="1">
        <v>4.3</v>
      </c>
      <c r="M100" s="1">
        <v>605775.32999999996</v>
      </c>
      <c r="N100" s="1">
        <v>107194.6</v>
      </c>
    </row>
    <row r="101" spans="1:14">
      <c r="A101" s="1" t="s">
        <v>46</v>
      </c>
      <c r="B101" s="3">
        <v>45748</v>
      </c>
      <c r="C101" s="1" t="s">
        <v>27</v>
      </c>
      <c r="D101" s="1" t="s">
        <v>28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</row>
    <row r="102" spans="1:14">
      <c r="A102" s="1" t="s">
        <v>47</v>
      </c>
      <c r="B102" s="3">
        <v>45658</v>
      </c>
      <c r="C102" s="1" t="s">
        <v>15</v>
      </c>
      <c r="D102" s="1" t="s">
        <v>28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</row>
    <row r="103" spans="1:14">
      <c r="A103" s="1" t="s">
        <v>47</v>
      </c>
      <c r="B103" s="3">
        <v>45689</v>
      </c>
      <c r="C103" s="1" t="s">
        <v>15</v>
      </c>
      <c r="D103" s="1" t="s">
        <v>28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</row>
    <row r="104" spans="1:14">
      <c r="A104" s="1" t="s">
        <v>47</v>
      </c>
      <c r="B104" s="3">
        <v>45717</v>
      </c>
      <c r="C104" s="1" t="s">
        <v>15</v>
      </c>
      <c r="D104" s="1" t="s">
        <v>28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</row>
    <row r="105" spans="1:14">
      <c r="A105" s="1" t="s">
        <v>47</v>
      </c>
      <c r="B105" s="3">
        <v>45748</v>
      </c>
      <c r="C105" s="1" t="s">
        <v>15</v>
      </c>
      <c r="D105" s="1" t="s">
        <v>28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</row>
    <row r="106" spans="1:14">
      <c r="A106" s="1" t="s">
        <v>48</v>
      </c>
      <c r="B106" s="3">
        <v>45658</v>
      </c>
      <c r="C106" s="1" t="s">
        <v>27</v>
      </c>
      <c r="D106" s="1" t="s">
        <v>18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</row>
    <row r="107" spans="1:14">
      <c r="A107" s="1" t="s">
        <v>48</v>
      </c>
      <c r="B107" s="3">
        <v>45689</v>
      </c>
      <c r="C107" s="1" t="s">
        <v>27</v>
      </c>
      <c r="D107" s="1" t="s">
        <v>18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</row>
    <row r="108" spans="1:14">
      <c r="A108" s="1" t="s">
        <v>48</v>
      </c>
      <c r="B108" s="3">
        <v>45717</v>
      </c>
      <c r="C108" s="1" t="s">
        <v>27</v>
      </c>
      <c r="D108" s="1" t="s">
        <v>18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</row>
    <row r="109" spans="1:14">
      <c r="A109" s="1" t="s">
        <v>48</v>
      </c>
      <c r="B109" s="3">
        <v>45748</v>
      </c>
      <c r="C109" s="1" t="s">
        <v>27</v>
      </c>
      <c r="D109" s="1" t="s">
        <v>18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</row>
    <row r="110" spans="1:14">
      <c r="A110" s="1" t="s">
        <v>49</v>
      </c>
      <c r="B110" s="3">
        <v>45658</v>
      </c>
      <c r="C110" s="1" t="s">
        <v>15</v>
      </c>
      <c r="D110" s="1" t="s">
        <v>28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</row>
    <row r="111" spans="1:14">
      <c r="A111" s="1" t="s">
        <v>49</v>
      </c>
      <c r="B111" s="3">
        <v>45689</v>
      </c>
      <c r="C111" s="1" t="s">
        <v>15</v>
      </c>
      <c r="D111" s="1" t="s">
        <v>28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</row>
    <row r="112" spans="1:14">
      <c r="A112" s="1" t="s">
        <v>49</v>
      </c>
      <c r="B112" s="3">
        <v>45717</v>
      </c>
      <c r="C112" s="1" t="s">
        <v>15</v>
      </c>
      <c r="D112" s="1" t="s">
        <v>28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</row>
    <row r="113" spans="1:14">
      <c r="A113" s="1" t="s">
        <v>49</v>
      </c>
      <c r="B113" s="3">
        <v>45748</v>
      </c>
      <c r="C113" s="1" t="s">
        <v>15</v>
      </c>
      <c r="D113" s="1" t="s">
        <v>28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</row>
    <row r="114" spans="1:14">
      <c r="A114" s="1" t="s">
        <v>50</v>
      </c>
      <c r="B114" s="3">
        <v>45658</v>
      </c>
      <c r="C114" s="1" t="s">
        <v>27</v>
      </c>
      <c r="D114" s="1" t="s">
        <v>28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</row>
    <row r="115" spans="1:14">
      <c r="A115" s="1" t="s">
        <v>50</v>
      </c>
      <c r="B115" s="3">
        <v>45689</v>
      </c>
      <c r="C115" s="1" t="s">
        <v>27</v>
      </c>
      <c r="D115" s="1" t="s">
        <v>28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</row>
    <row r="116" spans="1:14">
      <c r="A116" s="1" t="s">
        <v>50</v>
      </c>
      <c r="B116" s="3">
        <v>45717</v>
      </c>
      <c r="C116" s="1" t="s">
        <v>27</v>
      </c>
      <c r="D116" s="1" t="s">
        <v>28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</row>
    <row r="117" spans="1:14">
      <c r="A117" s="1" t="s">
        <v>50</v>
      </c>
      <c r="B117" s="3">
        <v>45748</v>
      </c>
      <c r="C117" s="1" t="s">
        <v>27</v>
      </c>
      <c r="D117" s="1" t="s">
        <v>28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</row>
    <row r="118" spans="1:14">
      <c r="A118" s="1" t="s">
        <v>51</v>
      </c>
      <c r="B118" s="3">
        <v>45658</v>
      </c>
      <c r="C118" s="1" t="s">
        <v>27</v>
      </c>
      <c r="D118" s="1" t="s">
        <v>16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</row>
    <row r="119" spans="1:14">
      <c r="A119" s="1" t="s">
        <v>51</v>
      </c>
      <c r="B119" s="3">
        <v>45689</v>
      </c>
      <c r="C119" s="1" t="s">
        <v>27</v>
      </c>
      <c r="D119" s="1" t="s">
        <v>16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</row>
    <row r="120" spans="1:14">
      <c r="A120" s="1" t="s">
        <v>51</v>
      </c>
      <c r="B120" s="3">
        <v>45717</v>
      </c>
      <c r="C120" s="1" t="s">
        <v>27</v>
      </c>
      <c r="D120" s="1" t="s">
        <v>16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</row>
    <row r="121" spans="1:14">
      <c r="A121" s="1" t="s">
        <v>51</v>
      </c>
      <c r="B121" s="3">
        <v>45748</v>
      </c>
      <c r="C121" s="1" t="s">
        <v>27</v>
      </c>
      <c r="D121" s="1" t="s">
        <v>16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</row>
    <row r="122" spans="1:14">
      <c r="A122" s="1" t="s">
        <v>52</v>
      </c>
      <c r="B122" s="3">
        <v>45658</v>
      </c>
      <c r="C122" s="1" t="s">
        <v>20</v>
      </c>
      <c r="D122" s="1" t="s">
        <v>18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</row>
    <row r="123" spans="1:14">
      <c r="A123" s="1" t="s">
        <v>52</v>
      </c>
      <c r="B123" s="3">
        <v>45689</v>
      </c>
      <c r="C123" s="1" t="s">
        <v>20</v>
      </c>
      <c r="D123" s="1" t="s">
        <v>18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</row>
    <row r="124" spans="1:14">
      <c r="A124" s="1" t="s">
        <v>52</v>
      </c>
      <c r="B124" s="3">
        <v>45717</v>
      </c>
      <c r="C124" s="1" t="s">
        <v>20</v>
      </c>
      <c r="D124" s="1" t="s">
        <v>18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</row>
    <row r="125" spans="1:14">
      <c r="A125" s="1" t="s">
        <v>52</v>
      </c>
      <c r="B125" s="3">
        <v>45748</v>
      </c>
      <c r="C125" s="1" t="s">
        <v>20</v>
      </c>
      <c r="D125" s="1" t="s">
        <v>18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</row>
    <row r="126" spans="1:14">
      <c r="A126" s="1" t="s">
        <v>53</v>
      </c>
      <c r="B126" s="3">
        <v>45658</v>
      </c>
      <c r="C126" s="1" t="s">
        <v>24</v>
      </c>
      <c r="D126" s="1" t="s">
        <v>18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</row>
    <row r="127" spans="1:14">
      <c r="A127" s="1" t="s">
        <v>53</v>
      </c>
      <c r="B127" s="3">
        <v>45689</v>
      </c>
      <c r="C127" s="1" t="s">
        <v>24</v>
      </c>
      <c r="D127" s="1" t="s">
        <v>18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</row>
    <row r="128" spans="1:14">
      <c r="A128" s="1" t="s">
        <v>53</v>
      </c>
      <c r="B128" s="3">
        <v>45717</v>
      </c>
      <c r="C128" s="1" t="s">
        <v>24</v>
      </c>
      <c r="D128" s="1" t="s">
        <v>18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</row>
    <row r="129" spans="1:14">
      <c r="A129" s="1" t="s">
        <v>53</v>
      </c>
      <c r="B129" s="3">
        <v>45748</v>
      </c>
      <c r="C129" s="1" t="s">
        <v>24</v>
      </c>
      <c r="D129" s="1" t="s">
        <v>18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</row>
    <row r="130" spans="1:14">
      <c r="A130" s="1" t="s">
        <v>54</v>
      </c>
      <c r="B130" s="3">
        <v>45658</v>
      </c>
      <c r="C130" s="1" t="s">
        <v>15</v>
      </c>
      <c r="D130" s="1" t="s">
        <v>18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</row>
    <row r="131" spans="1:14">
      <c r="A131" s="1" t="s">
        <v>54</v>
      </c>
      <c r="B131" s="3">
        <v>45689</v>
      </c>
      <c r="C131" s="1" t="s">
        <v>15</v>
      </c>
      <c r="D131" s="1" t="s">
        <v>18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</row>
    <row r="132" spans="1:14">
      <c r="A132" s="1" t="s">
        <v>54</v>
      </c>
      <c r="B132" s="3">
        <v>45717</v>
      </c>
      <c r="C132" s="1" t="s">
        <v>15</v>
      </c>
      <c r="D132" s="1" t="s">
        <v>18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</row>
    <row r="133" spans="1:14">
      <c r="A133" s="1" t="s">
        <v>54</v>
      </c>
      <c r="B133" s="3">
        <v>45748</v>
      </c>
      <c r="C133" s="1" t="s">
        <v>15</v>
      </c>
      <c r="D133" s="1" t="s">
        <v>18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</row>
    <row r="134" spans="1:14">
      <c r="A134" s="1" t="s">
        <v>55</v>
      </c>
      <c r="B134" s="3">
        <v>45658</v>
      </c>
      <c r="C134" s="1" t="s">
        <v>20</v>
      </c>
      <c r="D134" s="1" t="s">
        <v>18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</row>
    <row r="135" spans="1:14">
      <c r="A135" s="1" t="s">
        <v>55</v>
      </c>
      <c r="B135" s="3">
        <v>45689</v>
      </c>
      <c r="C135" s="1" t="s">
        <v>20</v>
      </c>
      <c r="D135" s="1" t="s">
        <v>18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/>
      <c r="M135" s="1">
        <v>400831.65</v>
      </c>
      <c r="N135" s="1">
        <v>70979.31</v>
      </c>
    </row>
    <row r="136" spans="1:14">
      <c r="A136" s="1" t="s">
        <v>55</v>
      </c>
      <c r="B136" s="3">
        <v>45717</v>
      </c>
      <c r="C136" s="1" t="s">
        <v>20</v>
      </c>
      <c r="D136" s="1" t="s">
        <v>18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</row>
    <row r="137" spans="1:14">
      <c r="A137" s="1" t="s">
        <v>55</v>
      </c>
      <c r="B137" s="3">
        <v>45748</v>
      </c>
      <c r="C137" s="1" t="s">
        <v>20</v>
      </c>
      <c r="D137" s="1" t="s">
        <v>18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</row>
    <row r="138" spans="1:14">
      <c r="A138" s="1" t="s">
        <v>56</v>
      </c>
      <c r="B138" s="3">
        <v>45658</v>
      </c>
      <c r="C138" s="1" t="s">
        <v>24</v>
      </c>
      <c r="D138" s="1" t="s">
        <v>16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/>
      <c r="M138" s="1">
        <v>633638.03</v>
      </c>
      <c r="N138" s="1">
        <v>99402.01</v>
      </c>
    </row>
    <row r="139" spans="1:14">
      <c r="A139" s="1" t="s">
        <v>56</v>
      </c>
      <c r="B139" s="3">
        <v>45689</v>
      </c>
      <c r="C139" s="1" t="s">
        <v>24</v>
      </c>
      <c r="D139" s="1" t="s">
        <v>16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</row>
    <row r="140" spans="1:14">
      <c r="A140" s="1" t="s">
        <v>56</v>
      </c>
      <c r="B140" s="3">
        <v>45717</v>
      </c>
      <c r="C140" s="1" t="s">
        <v>24</v>
      </c>
      <c r="D140" s="1" t="s">
        <v>16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</row>
    <row r="141" spans="1:14">
      <c r="A141" s="1" t="s">
        <v>56</v>
      </c>
      <c r="B141" s="3">
        <v>45748</v>
      </c>
      <c r="C141" s="1" t="s">
        <v>24</v>
      </c>
      <c r="D141" s="1" t="s">
        <v>16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</row>
    <row r="142" spans="1:14">
      <c r="A142" s="1" t="s">
        <v>57</v>
      </c>
      <c r="B142" s="3">
        <v>45658</v>
      </c>
      <c r="C142" s="1" t="s">
        <v>27</v>
      </c>
      <c r="D142" s="1" t="s">
        <v>18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</row>
    <row r="143" spans="1:14">
      <c r="A143" s="1" t="s">
        <v>57</v>
      </c>
      <c r="B143" s="3">
        <v>45689</v>
      </c>
      <c r="C143" s="1" t="s">
        <v>27</v>
      </c>
      <c r="D143" s="1" t="s">
        <v>18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</row>
    <row r="144" spans="1:14">
      <c r="A144" s="1" t="s">
        <v>57</v>
      </c>
      <c r="B144" s="3">
        <v>45717</v>
      </c>
      <c r="C144" s="1" t="s">
        <v>27</v>
      </c>
      <c r="D144" s="1" t="s">
        <v>18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</row>
    <row r="145" spans="1:14">
      <c r="A145" s="1" t="s">
        <v>57</v>
      </c>
      <c r="B145" s="3">
        <v>45748</v>
      </c>
      <c r="C145" s="1" t="s">
        <v>27</v>
      </c>
      <c r="D145" s="1" t="s">
        <v>18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</row>
    <row r="146" spans="1:14">
      <c r="A146" s="1" t="s">
        <v>58</v>
      </c>
      <c r="B146" s="3">
        <v>45658</v>
      </c>
      <c r="C146" s="1" t="s">
        <v>20</v>
      </c>
      <c r="D146" s="1" t="s">
        <v>16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</row>
    <row r="147" spans="1:14">
      <c r="A147" s="1" t="s">
        <v>58</v>
      </c>
      <c r="B147" s="3">
        <v>45689</v>
      </c>
      <c r="C147" s="1" t="s">
        <v>20</v>
      </c>
      <c r="D147" s="1" t="s">
        <v>16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</row>
    <row r="148" spans="1:14">
      <c r="A148" s="1" t="s">
        <v>58</v>
      </c>
      <c r="B148" s="3">
        <v>45717</v>
      </c>
      <c r="C148" s="1" t="s">
        <v>20</v>
      </c>
      <c r="D148" s="1" t="s">
        <v>16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</row>
    <row r="149" spans="1:14">
      <c r="A149" s="1" t="s">
        <v>58</v>
      </c>
      <c r="B149" s="3">
        <v>45748</v>
      </c>
      <c r="C149" s="1" t="s">
        <v>20</v>
      </c>
      <c r="D149" s="1" t="s">
        <v>16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</row>
    <row r="150" spans="1:14">
      <c r="A150" s="1" t="s">
        <v>59</v>
      </c>
      <c r="B150" s="3">
        <v>45658</v>
      </c>
      <c r="C150" s="1" t="s">
        <v>24</v>
      </c>
      <c r="D150" s="1" t="s">
        <v>28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</row>
    <row r="151" spans="1:14">
      <c r="A151" s="1" t="s">
        <v>59</v>
      </c>
      <c r="B151" s="3">
        <v>45689</v>
      </c>
      <c r="C151" s="1" t="s">
        <v>24</v>
      </c>
      <c r="D151" s="1" t="s">
        <v>28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</row>
    <row r="152" spans="1:14">
      <c r="A152" s="1" t="s">
        <v>59</v>
      </c>
      <c r="B152" s="3">
        <v>45717</v>
      </c>
      <c r="C152" s="1" t="s">
        <v>24</v>
      </c>
      <c r="D152" s="1" t="s">
        <v>28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</row>
    <row r="153" spans="1:14">
      <c r="A153" s="1" t="s">
        <v>59</v>
      </c>
      <c r="B153" s="3">
        <v>45748</v>
      </c>
      <c r="C153" s="1" t="s">
        <v>24</v>
      </c>
      <c r="D153" s="1" t="s">
        <v>28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</row>
    <row r="154" spans="1:14">
      <c r="A154" s="1" t="s">
        <v>60</v>
      </c>
      <c r="B154" s="3">
        <v>45658</v>
      </c>
      <c r="C154" s="1" t="s">
        <v>15</v>
      </c>
      <c r="D154" s="1" t="s">
        <v>18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</row>
    <row r="155" spans="1:14">
      <c r="A155" s="1" t="s">
        <v>60</v>
      </c>
      <c r="B155" s="3">
        <v>45689</v>
      </c>
      <c r="C155" s="1" t="s">
        <v>15</v>
      </c>
      <c r="D155" s="1" t="s">
        <v>18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</row>
    <row r="156" spans="1:14">
      <c r="A156" s="1" t="s">
        <v>60</v>
      </c>
      <c r="B156" s="3">
        <v>45717</v>
      </c>
      <c r="C156" s="1" t="s">
        <v>15</v>
      </c>
      <c r="D156" s="1" t="s">
        <v>18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</row>
    <row r="157" spans="1:14">
      <c r="A157" s="1" t="s">
        <v>60</v>
      </c>
      <c r="B157" s="3">
        <v>45748</v>
      </c>
      <c r="C157" s="1" t="s">
        <v>15</v>
      </c>
      <c r="D157" s="1" t="s">
        <v>18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</row>
    <row r="158" spans="1:14">
      <c r="A158" s="1" t="s">
        <v>61</v>
      </c>
      <c r="B158" s="3">
        <v>45658</v>
      </c>
      <c r="C158" s="1" t="s">
        <v>20</v>
      </c>
      <c r="D158" s="1" t="s">
        <v>28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</row>
    <row r="159" spans="1:14">
      <c r="A159" s="1" t="s">
        <v>61</v>
      </c>
      <c r="B159" s="3">
        <v>45689</v>
      </c>
      <c r="C159" s="1" t="s">
        <v>20</v>
      </c>
      <c r="D159" s="1" t="s">
        <v>28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</row>
    <row r="160" spans="1:14">
      <c r="A160" s="1" t="s">
        <v>61</v>
      </c>
      <c r="B160" s="3">
        <v>45717</v>
      </c>
      <c r="C160" s="1" t="s">
        <v>20</v>
      </c>
      <c r="D160" s="1" t="s">
        <v>28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</row>
    <row r="161" spans="1:14">
      <c r="A161" s="1" t="s">
        <v>61</v>
      </c>
      <c r="B161" s="3">
        <v>45748</v>
      </c>
      <c r="C161" s="1" t="s">
        <v>20</v>
      </c>
      <c r="D161" s="1" t="s">
        <v>28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</row>
    <row r="162" spans="1:14">
      <c r="A162" s="1" t="s">
        <v>62</v>
      </c>
      <c r="B162" s="3">
        <v>45658</v>
      </c>
      <c r="C162" s="1" t="s">
        <v>24</v>
      </c>
      <c r="D162" s="1" t="s">
        <v>18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</row>
    <row r="163" spans="1:14">
      <c r="A163" s="1" t="s">
        <v>62</v>
      </c>
      <c r="B163" s="3">
        <v>45689</v>
      </c>
      <c r="C163" s="1" t="s">
        <v>24</v>
      </c>
      <c r="D163" s="1" t="s">
        <v>18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</row>
    <row r="164" spans="1:14">
      <c r="A164" s="1" t="s">
        <v>62</v>
      </c>
      <c r="B164" s="3">
        <v>45717</v>
      </c>
      <c r="C164" s="1" t="s">
        <v>24</v>
      </c>
      <c r="D164" s="1" t="s">
        <v>18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 s="1"/>
      <c r="K164" s="1">
        <v>0</v>
      </c>
      <c r="L164" s="1">
        <v>4.2</v>
      </c>
      <c r="M164" s="1">
        <v>677096.71</v>
      </c>
      <c r="N164" s="1">
        <v>97174.11</v>
      </c>
    </row>
    <row r="165" spans="1:14">
      <c r="A165" s="1" t="s">
        <v>62</v>
      </c>
      <c r="B165" s="3">
        <v>45748</v>
      </c>
      <c r="C165" s="1" t="s">
        <v>24</v>
      </c>
      <c r="D165" s="1" t="s">
        <v>18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</row>
    <row r="166" spans="1:14">
      <c r="A166" s="1" t="s">
        <v>63</v>
      </c>
      <c r="B166" s="3">
        <v>45658</v>
      </c>
      <c r="C166" s="1" t="s">
        <v>20</v>
      </c>
      <c r="D166" s="1" t="s">
        <v>28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</row>
    <row r="167" spans="1:14">
      <c r="A167" s="1" t="s">
        <v>63</v>
      </c>
      <c r="B167" s="3">
        <v>45689</v>
      </c>
      <c r="C167" s="1" t="s">
        <v>20</v>
      </c>
      <c r="D167" s="1" t="s">
        <v>28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</row>
    <row r="168" spans="1:14">
      <c r="A168" s="1" t="s">
        <v>63</v>
      </c>
      <c r="B168" s="3">
        <v>45717</v>
      </c>
      <c r="C168" s="1" t="s">
        <v>20</v>
      </c>
      <c r="D168" s="1" t="s">
        <v>28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</row>
    <row r="169" spans="1:14">
      <c r="A169" s="1" t="s">
        <v>63</v>
      </c>
      <c r="B169" s="3">
        <v>45748</v>
      </c>
      <c r="C169" s="1" t="s">
        <v>20</v>
      </c>
      <c r="D169" s="1" t="s">
        <v>28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</row>
    <row r="170" spans="1:14">
      <c r="A170" s="1" t="s">
        <v>64</v>
      </c>
      <c r="B170" s="3">
        <v>45658</v>
      </c>
      <c r="C170" s="1" t="s">
        <v>15</v>
      </c>
      <c r="D170" s="1" t="s">
        <v>16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</row>
    <row r="171" spans="1:14">
      <c r="A171" s="1" t="s">
        <v>64</v>
      </c>
      <c r="B171" s="3">
        <v>45689</v>
      </c>
      <c r="C171" s="1" t="s">
        <v>15</v>
      </c>
      <c r="D171" s="1" t="s">
        <v>16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</row>
    <row r="172" spans="1:14">
      <c r="A172" s="1" t="s">
        <v>64</v>
      </c>
      <c r="B172" s="3">
        <v>45717</v>
      </c>
      <c r="C172" s="1" t="s">
        <v>15</v>
      </c>
      <c r="D172" s="1" t="s">
        <v>16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</row>
    <row r="173" spans="1:14">
      <c r="A173" s="1" t="s">
        <v>64</v>
      </c>
      <c r="B173" s="3">
        <v>45748</v>
      </c>
      <c r="C173" s="1" t="s">
        <v>15</v>
      </c>
      <c r="D173" s="1" t="s">
        <v>16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</row>
    <row r="174" spans="1:14">
      <c r="A174" s="1" t="s">
        <v>65</v>
      </c>
      <c r="B174" s="3">
        <v>45658</v>
      </c>
      <c r="C174" s="1" t="s">
        <v>15</v>
      </c>
      <c r="D174" s="1" t="s">
        <v>16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</row>
    <row r="175" spans="1:14">
      <c r="A175" s="1" t="s">
        <v>65</v>
      </c>
      <c r="B175" s="3">
        <v>45689</v>
      </c>
      <c r="C175" s="1" t="s">
        <v>15</v>
      </c>
      <c r="D175" s="1" t="s">
        <v>16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</row>
    <row r="176" spans="1:14">
      <c r="A176" s="1" t="s">
        <v>65</v>
      </c>
      <c r="B176" s="3">
        <v>45717</v>
      </c>
      <c r="C176" s="1" t="s">
        <v>15</v>
      </c>
      <c r="D176" s="1" t="s">
        <v>16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</row>
    <row r="177" spans="1:14">
      <c r="A177" s="1" t="s">
        <v>65</v>
      </c>
      <c r="B177" s="3">
        <v>45748</v>
      </c>
      <c r="C177" s="1" t="s">
        <v>15</v>
      </c>
      <c r="D177" s="1" t="s">
        <v>16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</row>
    <row r="178" spans="1:14">
      <c r="A178" s="1" t="s">
        <v>66</v>
      </c>
      <c r="B178" s="3">
        <v>45658</v>
      </c>
      <c r="C178" s="1" t="s">
        <v>27</v>
      </c>
      <c r="D178" s="1" t="s">
        <v>21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</row>
    <row r="179" spans="1:14">
      <c r="A179" s="1" t="s">
        <v>66</v>
      </c>
      <c r="B179" s="3">
        <v>45689</v>
      </c>
      <c r="C179" s="1" t="s">
        <v>27</v>
      </c>
      <c r="D179" s="1" t="s">
        <v>21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</row>
    <row r="180" spans="1:14">
      <c r="A180" s="1" t="s">
        <v>66</v>
      </c>
      <c r="B180" s="3">
        <v>45717</v>
      </c>
      <c r="C180" s="1" t="s">
        <v>27</v>
      </c>
      <c r="D180" s="1" t="s">
        <v>21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</row>
    <row r="181" spans="1:14">
      <c r="A181" s="1" t="s">
        <v>66</v>
      </c>
      <c r="B181" s="3">
        <v>45748</v>
      </c>
      <c r="C181" s="1" t="s">
        <v>27</v>
      </c>
      <c r="D181" s="1" t="s">
        <v>21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</row>
    <row r="182" spans="1:14">
      <c r="A182" s="1" t="s">
        <v>67</v>
      </c>
      <c r="B182" s="3">
        <v>45658</v>
      </c>
      <c r="C182" s="1" t="s">
        <v>27</v>
      </c>
      <c r="D182" s="1" t="s">
        <v>16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</row>
    <row r="183" spans="1:14">
      <c r="A183" s="1" t="s">
        <v>67</v>
      </c>
      <c r="B183" s="3">
        <v>45689</v>
      </c>
      <c r="C183" s="1" t="s">
        <v>27</v>
      </c>
      <c r="D183" s="1" t="s">
        <v>16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</row>
    <row r="184" spans="1:14">
      <c r="A184" s="1" t="s">
        <v>67</v>
      </c>
      <c r="B184" s="3">
        <v>45717</v>
      </c>
      <c r="C184" s="1" t="s">
        <v>27</v>
      </c>
      <c r="D184" s="1" t="s">
        <v>16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</row>
    <row r="185" spans="1:14">
      <c r="A185" s="1" t="s">
        <v>67</v>
      </c>
      <c r="B185" s="3">
        <v>45748</v>
      </c>
      <c r="C185" s="1" t="s">
        <v>27</v>
      </c>
      <c r="D185" s="1" t="s">
        <v>16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</row>
    <row r="186" spans="1:14">
      <c r="A186" s="1" t="s">
        <v>68</v>
      </c>
      <c r="B186" s="3">
        <v>45658</v>
      </c>
      <c r="C186" s="1" t="s">
        <v>20</v>
      </c>
      <c r="D186" s="1" t="s">
        <v>18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</row>
    <row r="187" spans="1:14">
      <c r="A187" s="1" t="s">
        <v>68</v>
      </c>
      <c r="B187" s="3">
        <v>45689</v>
      </c>
      <c r="C187" s="1" t="s">
        <v>20</v>
      </c>
      <c r="D187" s="1" t="s">
        <v>18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</row>
    <row r="188" spans="1:14">
      <c r="A188" s="1" t="s">
        <v>68</v>
      </c>
      <c r="B188" s="3">
        <v>45717</v>
      </c>
      <c r="C188" s="1" t="s">
        <v>20</v>
      </c>
      <c r="D188" s="1" t="s">
        <v>18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</row>
    <row r="189" spans="1:14">
      <c r="A189" s="1" t="s">
        <v>68</v>
      </c>
      <c r="B189" s="3">
        <v>45748</v>
      </c>
      <c r="C189" s="1" t="s">
        <v>20</v>
      </c>
      <c r="D189" s="1" t="s">
        <v>18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</row>
    <row r="190" spans="1:14">
      <c r="A190" s="1" t="s">
        <v>69</v>
      </c>
      <c r="B190" s="3">
        <v>45658</v>
      </c>
      <c r="C190" s="1" t="s">
        <v>15</v>
      </c>
      <c r="D190" s="1" t="s">
        <v>18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</row>
    <row r="191" spans="1:14">
      <c r="A191" s="1" t="s">
        <v>69</v>
      </c>
      <c r="B191" s="3">
        <v>45689</v>
      </c>
      <c r="C191" s="1" t="s">
        <v>15</v>
      </c>
      <c r="D191" s="1" t="s">
        <v>18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</row>
    <row r="192" spans="1:14">
      <c r="A192" s="1" t="s">
        <v>69</v>
      </c>
      <c r="B192" s="3">
        <v>45717</v>
      </c>
      <c r="C192" s="1" t="s">
        <v>15</v>
      </c>
      <c r="D192" s="1" t="s">
        <v>18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</row>
    <row r="193" spans="1:14">
      <c r="A193" s="1" t="s">
        <v>69</v>
      </c>
      <c r="B193" s="3">
        <v>45748</v>
      </c>
      <c r="C193" s="1" t="s">
        <v>15</v>
      </c>
      <c r="D193" s="1" t="s">
        <v>18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</row>
    <row r="194" spans="1:14">
      <c r="A194" s="1" t="s">
        <v>70</v>
      </c>
      <c r="B194" s="3">
        <v>45658</v>
      </c>
      <c r="C194" s="1" t="s">
        <v>27</v>
      </c>
      <c r="D194" s="1" t="s">
        <v>16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</row>
    <row r="195" spans="1:14">
      <c r="A195" s="1" t="s">
        <v>70</v>
      </c>
      <c r="B195" s="3">
        <v>45689</v>
      </c>
      <c r="C195" s="1" t="s">
        <v>27</v>
      </c>
      <c r="D195" s="1" t="s">
        <v>16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</row>
    <row r="196" spans="1:14">
      <c r="A196" s="1" t="s">
        <v>70</v>
      </c>
      <c r="B196" s="3">
        <v>45717</v>
      </c>
      <c r="C196" s="1" t="s">
        <v>27</v>
      </c>
      <c r="D196" s="1" t="s">
        <v>16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</row>
    <row r="197" spans="1:14">
      <c r="A197" s="1" t="s">
        <v>70</v>
      </c>
      <c r="B197" s="3">
        <v>45748</v>
      </c>
      <c r="C197" s="1" t="s">
        <v>27</v>
      </c>
      <c r="D197" s="1" t="s">
        <v>16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/>
      <c r="M197" s="1">
        <v>449465.06</v>
      </c>
      <c r="N197" s="1">
        <v>65694.78</v>
      </c>
    </row>
    <row r="198" spans="1:14">
      <c r="A198" s="1" t="s">
        <v>71</v>
      </c>
      <c r="B198" s="3">
        <v>45658</v>
      </c>
      <c r="C198" s="1" t="s">
        <v>20</v>
      </c>
      <c r="D198" s="1" t="s">
        <v>16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</row>
    <row r="199" spans="1:14">
      <c r="A199" s="1" t="s">
        <v>71</v>
      </c>
      <c r="B199" s="3">
        <v>45689</v>
      </c>
      <c r="C199" s="1" t="s">
        <v>20</v>
      </c>
      <c r="D199" s="1" t="s">
        <v>16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</row>
    <row r="200" spans="1:14">
      <c r="A200" s="1" t="s">
        <v>71</v>
      </c>
      <c r="B200" s="3">
        <v>45717</v>
      </c>
      <c r="C200" s="1" t="s">
        <v>20</v>
      </c>
      <c r="D200" s="1" t="s">
        <v>16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</row>
    <row r="201" spans="1:14">
      <c r="A201" s="1" t="s">
        <v>71</v>
      </c>
      <c r="B201" s="3">
        <v>45748</v>
      </c>
      <c r="C201" s="1" t="s">
        <v>20</v>
      </c>
      <c r="D201" s="1" t="s">
        <v>16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</row>
    <row r="202" spans="1:14">
      <c r="A202" s="1" t="s">
        <v>72</v>
      </c>
      <c r="B202" s="3">
        <v>45658</v>
      </c>
      <c r="C202" s="1" t="s">
        <v>15</v>
      </c>
      <c r="D202" s="1" t="s">
        <v>21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</row>
    <row r="203" spans="1:14">
      <c r="A203" s="1" t="s">
        <v>72</v>
      </c>
      <c r="B203" s="3">
        <v>45689</v>
      </c>
      <c r="C203" s="1" t="s">
        <v>15</v>
      </c>
      <c r="D203" s="1" t="s">
        <v>21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</row>
    <row r="204" spans="1:14">
      <c r="A204" s="1" t="s">
        <v>72</v>
      </c>
      <c r="B204" s="3">
        <v>45717</v>
      </c>
      <c r="C204" s="1" t="s">
        <v>15</v>
      </c>
      <c r="D204" s="1" t="s">
        <v>21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</row>
    <row r="205" spans="1:14">
      <c r="A205" s="1" t="s">
        <v>72</v>
      </c>
      <c r="B205" s="3">
        <v>45748</v>
      </c>
      <c r="C205" s="1" t="s">
        <v>15</v>
      </c>
      <c r="D205" s="1" t="s">
        <v>21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</row>
    <row r="206" spans="1:14">
      <c r="A206" s="1" t="s">
        <v>73</v>
      </c>
      <c r="B206" s="3">
        <v>45658</v>
      </c>
      <c r="C206" s="1" t="s">
        <v>15</v>
      </c>
      <c r="D206" s="1" t="s">
        <v>28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</row>
    <row r="207" spans="1:14">
      <c r="A207" s="1" t="s">
        <v>73</v>
      </c>
      <c r="B207" s="3">
        <v>45689</v>
      </c>
      <c r="C207" s="1" t="s">
        <v>15</v>
      </c>
      <c r="D207" s="1" t="s">
        <v>28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</row>
    <row r="208" spans="1:14">
      <c r="A208" s="1" t="s">
        <v>73</v>
      </c>
      <c r="B208" s="3">
        <v>45717</v>
      </c>
      <c r="C208" s="1" t="s">
        <v>15</v>
      </c>
      <c r="D208" s="1" t="s">
        <v>28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</row>
    <row r="209" spans="1:14">
      <c r="A209" s="1" t="s">
        <v>73</v>
      </c>
      <c r="B209" s="3">
        <v>45748</v>
      </c>
      <c r="C209" s="1" t="s">
        <v>15</v>
      </c>
      <c r="D209" s="1" t="s">
        <v>28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</row>
    <row r="210" spans="1:14">
      <c r="A210" s="1" t="s">
        <v>74</v>
      </c>
      <c r="B210" s="3">
        <v>45658</v>
      </c>
      <c r="C210" s="1" t="s">
        <v>15</v>
      </c>
      <c r="D210" s="1" t="s">
        <v>18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</row>
    <row r="211" spans="1:14">
      <c r="A211" s="1" t="s">
        <v>74</v>
      </c>
      <c r="B211" s="3">
        <v>45689</v>
      </c>
      <c r="C211" s="1" t="s">
        <v>15</v>
      </c>
      <c r="D211" s="1" t="s">
        <v>18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</row>
    <row r="212" spans="1:14">
      <c r="A212" s="1" t="s">
        <v>74</v>
      </c>
      <c r="B212" s="3">
        <v>45717</v>
      </c>
      <c r="C212" s="1" t="s">
        <v>15</v>
      </c>
      <c r="D212" s="1" t="s">
        <v>18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</row>
    <row r="213" spans="1:14">
      <c r="A213" s="1" t="s">
        <v>74</v>
      </c>
      <c r="B213" s="3">
        <v>45748</v>
      </c>
      <c r="C213" s="1" t="s">
        <v>15</v>
      </c>
      <c r="D213" s="1" t="s">
        <v>18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</row>
    <row r="214" spans="1:14">
      <c r="A214" s="1" t="s">
        <v>75</v>
      </c>
      <c r="B214" s="3">
        <v>45658</v>
      </c>
      <c r="C214" s="1" t="s">
        <v>27</v>
      </c>
      <c r="D214" s="1" t="s">
        <v>16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</row>
    <row r="215" spans="1:14">
      <c r="A215" s="1" t="s">
        <v>75</v>
      </c>
      <c r="B215" s="3">
        <v>45689</v>
      </c>
      <c r="C215" s="1" t="s">
        <v>27</v>
      </c>
      <c r="D215" s="1" t="s">
        <v>16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</row>
    <row r="216" spans="1:14">
      <c r="A216" s="1" t="s">
        <v>75</v>
      </c>
      <c r="B216" s="3">
        <v>45717</v>
      </c>
      <c r="C216" s="1" t="s">
        <v>27</v>
      </c>
      <c r="D216" s="1" t="s">
        <v>16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</row>
    <row r="217" spans="1:14">
      <c r="A217" s="1" t="s">
        <v>75</v>
      </c>
      <c r="B217" s="3">
        <v>45748</v>
      </c>
      <c r="C217" s="1" t="s">
        <v>27</v>
      </c>
      <c r="D217" s="1" t="s">
        <v>16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</row>
    <row r="218" spans="1:14">
      <c r="A218" s="1" t="s">
        <v>76</v>
      </c>
      <c r="B218" s="3">
        <v>45658</v>
      </c>
      <c r="C218" s="1" t="s">
        <v>20</v>
      </c>
      <c r="D218" s="1" t="s">
        <v>21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</row>
    <row r="219" spans="1:14">
      <c r="A219" s="1" t="s">
        <v>76</v>
      </c>
      <c r="B219" s="3">
        <v>45689</v>
      </c>
      <c r="C219" s="1" t="s">
        <v>20</v>
      </c>
      <c r="D219" s="1" t="s">
        <v>21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</row>
    <row r="220" spans="1:14">
      <c r="A220" s="1" t="s">
        <v>76</v>
      </c>
      <c r="B220" s="3">
        <v>45717</v>
      </c>
      <c r="C220" s="1" t="s">
        <v>20</v>
      </c>
      <c r="D220" s="1" t="s">
        <v>21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</row>
    <row r="221" spans="1:14">
      <c r="A221" s="1" t="s">
        <v>76</v>
      </c>
      <c r="B221" s="3">
        <v>45748</v>
      </c>
      <c r="C221" s="1" t="s">
        <v>20</v>
      </c>
      <c r="D221" s="1" t="s">
        <v>21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</row>
    <row r="222" spans="1:14">
      <c r="A222" s="1" t="s">
        <v>77</v>
      </c>
      <c r="B222" s="3">
        <v>45658</v>
      </c>
      <c r="C222" s="1" t="s">
        <v>15</v>
      </c>
      <c r="D222" s="1" t="s">
        <v>18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</row>
    <row r="223" spans="1:14">
      <c r="A223" s="1" t="s">
        <v>77</v>
      </c>
      <c r="B223" s="3">
        <v>45689</v>
      </c>
      <c r="C223" s="1" t="s">
        <v>15</v>
      </c>
      <c r="D223" s="1" t="s">
        <v>18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</row>
    <row r="224" spans="1:14">
      <c r="A224" s="1" t="s">
        <v>77</v>
      </c>
      <c r="B224" s="3">
        <v>45717</v>
      </c>
      <c r="C224" s="1" t="s">
        <v>15</v>
      </c>
      <c r="D224" s="1" t="s">
        <v>18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</row>
    <row r="225" spans="1:14">
      <c r="A225" s="1" t="s">
        <v>77</v>
      </c>
      <c r="B225" s="3">
        <v>45748</v>
      </c>
      <c r="C225" s="1" t="s">
        <v>15</v>
      </c>
      <c r="D225" s="1" t="s">
        <v>18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</row>
    <row r="226" spans="1:14">
      <c r="A226" s="1" t="s">
        <v>78</v>
      </c>
      <c r="B226" s="3">
        <v>45658</v>
      </c>
      <c r="C226" s="1" t="s">
        <v>15</v>
      </c>
      <c r="D226" s="1" t="s">
        <v>28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</row>
    <row r="227" spans="1:14">
      <c r="A227" s="1" t="s">
        <v>78</v>
      </c>
      <c r="B227" s="3">
        <v>45689</v>
      </c>
      <c r="C227" s="1" t="s">
        <v>15</v>
      </c>
      <c r="D227" s="1" t="s">
        <v>28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</row>
    <row r="228" spans="1:14">
      <c r="A228" s="1" t="s">
        <v>78</v>
      </c>
      <c r="B228" s="3">
        <v>45717</v>
      </c>
      <c r="C228" s="1" t="s">
        <v>15</v>
      </c>
      <c r="D228" s="1" t="s">
        <v>28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</row>
    <row r="229" spans="1:14">
      <c r="A229" s="1" t="s">
        <v>78</v>
      </c>
      <c r="B229" s="3">
        <v>45748</v>
      </c>
      <c r="C229" s="1" t="s">
        <v>15</v>
      </c>
      <c r="D229" s="1" t="s">
        <v>28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/>
      <c r="M229" s="1">
        <v>529598.93999999994</v>
      </c>
      <c r="N229" s="1">
        <v>84334.33</v>
      </c>
    </row>
    <row r="230" spans="1:14">
      <c r="A230" s="1" t="s">
        <v>79</v>
      </c>
      <c r="B230" s="3">
        <v>45658</v>
      </c>
      <c r="C230" s="1" t="s">
        <v>15</v>
      </c>
      <c r="D230" s="1" t="s">
        <v>18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</row>
    <row r="231" spans="1:14">
      <c r="A231" s="1" t="s">
        <v>79</v>
      </c>
      <c r="B231" s="3">
        <v>45689</v>
      </c>
      <c r="C231" s="1" t="s">
        <v>15</v>
      </c>
      <c r="D231" s="1" t="s">
        <v>18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</row>
    <row r="232" spans="1:14">
      <c r="A232" s="1" t="s">
        <v>79</v>
      </c>
      <c r="B232" s="3">
        <v>45717</v>
      </c>
      <c r="C232" s="1" t="s">
        <v>15</v>
      </c>
      <c r="D232" s="1" t="s">
        <v>18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</row>
    <row r="233" spans="1:14">
      <c r="A233" s="1" t="s">
        <v>79</v>
      </c>
      <c r="B233" s="3">
        <v>45748</v>
      </c>
      <c r="C233" s="1" t="s">
        <v>15</v>
      </c>
      <c r="D233" s="1" t="s">
        <v>18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 s="1"/>
      <c r="K233" s="1">
        <v>0</v>
      </c>
      <c r="L233" s="1">
        <v>3.7</v>
      </c>
      <c r="M233" s="1">
        <v>647512.85</v>
      </c>
      <c r="N233" s="1">
        <v>153835.57</v>
      </c>
    </row>
    <row r="234" spans="1:14">
      <c r="A234" s="1" t="s">
        <v>80</v>
      </c>
      <c r="B234" s="3">
        <v>45658</v>
      </c>
      <c r="C234" s="1" t="s">
        <v>27</v>
      </c>
      <c r="D234" s="1" t="s">
        <v>16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</row>
    <row r="235" spans="1:14">
      <c r="A235" s="1" t="s">
        <v>80</v>
      </c>
      <c r="B235" s="3">
        <v>45689</v>
      </c>
      <c r="C235" s="1" t="s">
        <v>27</v>
      </c>
      <c r="D235" s="1" t="s">
        <v>16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</row>
    <row r="236" spans="1:14">
      <c r="A236" s="1" t="s">
        <v>80</v>
      </c>
      <c r="B236" s="3">
        <v>45717</v>
      </c>
      <c r="C236" s="1" t="s">
        <v>27</v>
      </c>
      <c r="D236" s="1" t="s">
        <v>16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</row>
    <row r="237" spans="1:14">
      <c r="A237" s="1" t="s">
        <v>80</v>
      </c>
      <c r="B237" s="3">
        <v>45748</v>
      </c>
      <c r="C237" s="1" t="s">
        <v>27</v>
      </c>
      <c r="D237" s="1" t="s">
        <v>16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</row>
    <row r="238" spans="1:14">
      <c r="A238" s="1" t="s">
        <v>81</v>
      </c>
      <c r="B238" s="3">
        <v>45658</v>
      </c>
      <c r="C238" s="1" t="s">
        <v>27</v>
      </c>
      <c r="D238" s="1" t="s">
        <v>28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</row>
    <row r="239" spans="1:14">
      <c r="A239" s="1" t="s">
        <v>81</v>
      </c>
      <c r="B239" s="3">
        <v>45689</v>
      </c>
      <c r="C239" s="1" t="s">
        <v>27</v>
      </c>
      <c r="D239" s="1" t="s">
        <v>28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</row>
    <row r="240" spans="1:14">
      <c r="A240" s="1" t="s">
        <v>81</v>
      </c>
      <c r="B240" s="3">
        <v>45717</v>
      </c>
      <c r="C240" s="1" t="s">
        <v>27</v>
      </c>
      <c r="D240" s="1" t="s">
        <v>28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</row>
    <row r="241" spans="1:14">
      <c r="A241" s="1" t="s">
        <v>81</v>
      </c>
      <c r="B241" s="3">
        <v>45748</v>
      </c>
      <c r="C241" s="1" t="s">
        <v>27</v>
      </c>
      <c r="D241" s="1" t="s">
        <v>28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</row>
    <row r="242" spans="1:14">
      <c r="A242" s="1" t="s">
        <v>82</v>
      </c>
      <c r="B242" s="3">
        <v>45658</v>
      </c>
      <c r="C242" s="1" t="s">
        <v>24</v>
      </c>
      <c r="D242" s="1" t="s">
        <v>21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</row>
    <row r="243" spans="1:14">
      <c r="A243" s="1" t="s">
        <v>82</v>
      </c>
      <c r="B243" s="3">
        <v>45689</v>
      </c>
      <c r="C243" s="1" t="s">
        <v>24</v>
      </c>
      <c r="D243" s="1" t="s">
        <v>21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</row>
    <row r="244" spans="1:14">
      <c r="A244" s="1" t="s">
        <v>82</v>
      </c>
      <c r="B244" s="3">
        <v>45717</v>
      </c>
      <c r="C244" s="1" t="s">
        <v>24</v>
      </c>
      <c r="D244" s="1" t="s">
        <v>21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</row>
    <row r="245" spans="1:14">
      <c r="A245" s="1" t="s">
        <v>82</v>
      </c>
      <c r="B245" s="3">
        <v>45748</v>
      </c>
      <c r="C245" s="1" t="s">
        <v>24</v>
      </c>
      <c r="D245" s="1" t="s">
        <v>21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</row>
    <row r="246" spans="1:14">
      <c r="A246" s="1" t="s">
        <v>83</v>
      </c>
      <c r="B246" s="3">
        <v>45658</v>
      </c>
      <c r="C246" s="1" t="s">
        <v>15</v>
      </c>
      <c r="D246" s="1" t="s">
        <v>18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</row>
    <row r="247" spans="1:14">
      <c r="A247" s="1" t="s">
        <v>83</v>
      </c>
      <c r="B247" s="3">
        <v>45689</v>
      </c>
      <c r="C247" s="1" t="s">
        <v>15</v>
      </c>
      <c r="D247" s="1" t="s">
        <v>18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</row>
    <row r="248" spans="1:14">
      <c r="A248" s="1" t="s">
        <v>83</v>
      </c>
      <c r="B248" s="3">
        <v>45717</v>
      </c>
      <c r="C248" s="1" t="s">
        <v>15</v>
      </c>
      <c r="D248" s="1" t="s">
        <v>18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</row>
    <row r="249" spans="1:14">
      <c r="A249" s="1" t="s">
        <v>83</v>
      </c>
      <c r="B249" s="3">
        <v>45748</v>
      </c>
      <c r="C249" s="1" t="s">
        <v>15</v>
      </c>
      <c r="D249" s="1" t="s">
        <v>18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</row>
    <row r="250" spans="1:14">
      <c r="A250" s="1" t="s">
        <v>84</v>
      </c>
      <c r="B250" s="3">
        <v>45658</v>
      </c>
      <c r="C250" s="1" t="s">
        <v>20</v>
      </c>
      <c r="D250" s="1" t="s">
        <v>18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 s="1"/>
      <c r="K250" s="1">
        <v>0</v>
      </c>
      <c r="L250" s="1">
        <v>3.8</v>
      </c>
      <c r="M250" s="1">
        <v>606783.67000000004</v>
      </c>
      <c r="N250" s="1">
        <v>74515.87</v>
      </c>
    </row>
    <row r="251" spans="1:14">
      <c r="A251" s="1" t="s">
        <v>84</v>
      </c>
      <c r="B251" s="3">
        <v>45689</v>
      </c>
      <c r="C251" s="1" t="s">
        <v>20</v>
      </c>
      <c r="D251" s="1" t="s">
        <v>18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</row>
    <row r="252" spans="1:14">
      <c r="A252" s="1" t="s">
        <v>84</v>
      </c>
      <c r="B252" s="3">
        <v>45717</v>
      </c>
      <c r="C252" s="1" t="s">
        <v>20</v>
      </c>
      <c r="D252" s="1" t="s">
        <v>18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</row>
    <row r="253" spans="1:14">
      <c r="A253" s="1" t="s">
        <v>84</v>
      </c>
      <c r="B253" s="3">
        <v>45748</v>
      </c>
      <c r="C253" s="1" t="s">
        <v>20</v>
      </c>
      <c r="D253" s="1" t="s">
        <v>18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</row>
    <row r="254" spans="1:14">
      <c r="A254" s="1" t="s">
        <v>85</v>
      </c>
      <c r="B254" s="3">
        <v>45658</v>
      </c>
      <c r="C254" s="1" t="s">
        <v>24</v>
      </c>
      <c r="D254" s="1" t="s">
        <v>21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</row>
    <row r="255" spans="1:14">
      <c r="A255" s="1" t="s">
        <v>85</v>
      </c>
      <c r="B255" s="3">
        <v>45689</v>
      </c>
      <c r="C255" s="1" t="s">
        <v>24</v>
      </c>
      <c r="D255" s="1" t="s">
        <v>21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</row>
    <row r="256" spans="1:14">
      <c r="A256" s="1" t="s">
        <v>85</v>
      </c>
      <c r="B256" s="3">
        <v>45717</v>
      </c>
      <c r="C256" s="1" t="s">
        <v>24</v>
      </c>
      <c r="D256" s="1" t="s">
        <v>21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</row>
    <row r="257" spans="1:14">
      <c r="A257" s="1" t="s">
        <v>85</v>
      </c>
      <c r="B257" s="3">
        <v>45748</v>
      </c>
      <c r="C257" s="1" t="s">
        <v>24</v>
      </c>
      <c r="D257" s="1" t="s">
        <v>21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</row>
    <row r="258" spans="1:14">
      <c r="A258" s="1" t="s">
        <v>86</v>
      </c>
      <c r="B258" s="3">
        <v>45658</v>
      </c>
      <c r="C258" s="1" t="s">
        <v>24</v>
      </c>
      <c r="D258" s="1" t="s">
        <v>28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</row>
    <row r="259" spans="1:14">
      <c r="A259" s="1" t="s">
        <v>86</v>
      </c>
      <c r="B259" s="3">
        <v>45689</v>
      </c>
      <c r="C259" s="1" t="s">
        <v>24</v>
      </c>
      <c r="D259" s="1" t="s">
        <v>28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</row>
    <row r="260" spans="1:14">
      <c r="A260" s="1" t="s">
        <v>86</v>
      </c>
      <c r="B260" s="3">
        <v>45717</v>
      </c>
      <c r="C260" s="1" t="s">
        <v>24</v>
      </c>
      <c r="D260" s="1" t="s">
        <v>28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</row>
    <row r="261" spans="1:14">
      <c r="A261" s="1" t="s">
        <v>86</v>
      </c>
      <c r="B261" s="3">
        <v>45748</v>
      </c>
      <c r="C261" s="1" t="s">
        <v>24</v>
      </c>
      <c r="D261" s="1" t="s">
        <v>28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</row>
    <row r="262" spans="1:14">
      <c r="A262" s="1" t="s">
        <v>87</v>
      </c>
      <c r="B262" s="3">
        <v>45658</v>
      </c>
      <c r="C262" s="1" t="s">
        <v>27</v>
      </c>
      <c r="D262" s="1" t="s">
        <v>18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</row>
    <row r="263" spans="1:14">
      <c r="A263" s="1" t="s">
        <v>87</v>
      </c>
      <c r="B263" s="3">
        <v>45689</v>
      </c>
      <c r="C263" s="1" t="s">
        <v>27</v>
      </c>
      <c r="D263" s="1" t="s">
        <v>18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 s="1"/>
      <c r="K263" s="1">
        <v>0</v>
      </c>
      <c r="L263" s="1">
        <v>4.2</v>
      </c>
      <c r="M263" s="1">
        <v>605751.32999999996</v>
      </c>
      <c r="N263" s="1">
        <v>60685.53</v>
      </c>
    </row>
    <row r="264" spans="1:14">
      <c r="A264" s="1" t="s">
        <v>87</v>
      </c>
      <c r="B264" s="3">
        <v>45717</v>
      </c>
      <c r="C264" s="1" t="s">
        <v>27</v>
      </c>
      <c r="D264" s="1" t="s">
        <v>18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</row>
    <row r="265" spans="1:14">
      <c r="A265" s="1" t="s">
        <v>87</v>
      </c>
      <c r="B265" s="3">
        <v>45748</v>
      </c>
      <c r="C265" s="1" t="s">
        <v>27</v>
      </c>
      <c r="D265" s="1" t="s">
        <v>18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</row>
    <row r="266" spans="1:14">
      <c r="A266" s="1" t="s">
        <v>88</v>
      </c>
      <c r="B266" s="3">
        <v>45658</v>
      </c>
      <c r="C266" s="1" t="s">
        <v>15</v>
      </c>
      <c r="D266" s="1" t="s">
        <v>18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</row>
    <row r="267" spans="1:14">
      <c r="A267" s="1" t="s">
        <v>88</v>
      </c>
      <c r="B267" s="3">
        <v>45689</v>
      </c>
      <c r="C267" s="1" t="s">
        <v>15</v>
      </c>
      <c r="D267" s="1" t="s">
        <v>18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</row>
    <row r="268" spans="1:14">
      <c r="A268" s="1" t="s">
        <v>88</v>
      </c>
      <c r="B268" s="3">
        <v>45717</v>
      </c>
      <c r="C268" s="1" t="s">
        <v>15</v>
      </c>
      <c r="D268" s="1" t="s">
        <v>18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</row>
    <row r="269" spans="1:14">
      <c r="A269" s="1" t="s">
        <v>88</v>
      </c>
      <c r="B269" s="3">
        <v>45748</v>
      </c>
      <c r="C269" s="1" t="s">
        <v>15</v>
      </c>
      <c r="D269" s="1" t="s">
        <v>18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</row>
    <row r="270" spans="1:14">
      <c r="A270" s="1" t="s">
        <v>89</v>
      </c>
      <c r="B270" s="3">
        <v>45658</v>
      </c>
      <c r="C270" s="1" t="s">
        <v>15</v>
      </c>
      <c r="D270" s="1" t="s">
        <v>28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</row>
    <row r="271" spans="1:14">
      <c r="A271" s="1" t="s">
        <v>89</v>
      </c>
      <c r="B271" s="3">
        <v>45689</v>
      </c>
      <c r="C271" s="1" t="s">
        <v>15</v>
      </c>
      <c r="D271" s="1" t="s">
        <v>28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</row>
    <row r="272" spans="1:14">
      <c r="A272" s="1" t="s">
        <v>89</v>
      </c>
      <c r="B272" s="3">
        <v>45717</v>
      </c>
      <c r="C272" s="1" t="s">
        <v>15</v>
      </c>
      <c r="D272" s="1" t="s">
        <v>28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</row>
    <row r="273" spans="1:14">
      <c r="A273" s="1" t="s">
        <v>89</v>
      </c>
      <c r="B273" s="3">
        <v>45748</v>
      </c>
      <c r="C273" s="1" t="s">
        <v>15</v>
      </c>
      <c r="D273" s="1" t="s">
        <v>28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</row>
    <row r="274" spans="1:14">
      <c r="A274" s="1" t="s">
        <v>90</v>
      </c>
      <c r="B274" s="3">
        <v>45658</v>
      </c>
      <c r="C274" s="1" t="s">
        <v>27</v>
      </c>
      <c r="D274" s="1" t="s">
        <v>18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</row>
    <row r="275" spans="1:14">
      <c r="A275" s="1" t="s">
        <v>90</v>
      </c>
      <c r="B275" s="3">
        <v>45689</v>
      </c>
      <c r="C275" s="1" t="s">
        <v>27</v>
      </c>
      <c r="D275" s="1" t="s">
        <v>18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</row>
    <row r="276" spans="1:14">
      <c r="A276" s="1" t="s">
        <v>90</v>
      </c>
      <c r="B276" s="3">
        <v>45717</v>
      </c>
      <c r="C276" s="1" t="s">
        <v>27</v>
      </c>
      <c r="D276" s="1" t="s">
        <v>18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</row>
    <row r="277" spans="1:14">
      <c r="A277" s="1" t="s">
        <v>90</v>
      </c>
      <c r="B277" s="3">
        <v>45748</v>
      </c>
      <c r="C277" s="1" t="s">
        <v>27</v>
      </c>
      <c r="D277" s="1" t="s">
        <v>18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</row>
    <row r="278" spans="1:14">
      <c r="A278" s="1" t="s">
        <v>91</v>
      </c>
      <c r="B278" s="3">
        <v>45658</v>
      </c>
      <c r="C278" s="1" t="s">
        <v>24</v>
      </c>
      <c r="D278" s="1" t="s">
        <v>16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</row>
    <row r="279" spans="1:14">
      <c r="A279" s="1" t="s">
        <v>91</v>
      </c>
      <c r="B279" s="3">
        <v>45689</v>
      </c>
      <c r="C279" s="1" t="s">
        <v>24</v>
      </c>
      <c r="D279" s="1" t="s">
        <v>16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</row>
    <row r="280" spans="1:14">
      <c r="A280" s="1" t="s">
        <v>91</v>
      </c>
      <c r="B280" s="3">
        <v>45717</v>
      </c>
      <c r="C280" s="1" t="s">
        <v>24</v>
      </c>
      <c r="D280" s="1" t="s">
        <v>16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</row>
    <row r="281" spans="1:14">
      <c r="A281" s="1" t="s">
        <v>91</v>
      </c>
      <c r="B281" s="3">
        <v>45748</v>
      </c>
      <c r="C281" s="1" t="s">
        <v>24</v>
      </c>
      <c r="D281" s="1" t="s">
        <v>16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</row>
    <row r="282" spans="1:14">
      <c r="A282" s="1" t="s">
        <v>92</v>
      </c>
      <c r="B282" s="3">
        <v>45658</v>
      </c>
      <c r="C282" s="1" t="s">
        <v>24</v>
      </c>
      <c r="D282" s="1" t="s">
        <v>18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</row>
    <row r="283" spans="1:14">
      <c r="A283" s="1" t="s">
        <v>92</v>
      </c>
      <c r="B283" s="3">
        <v>45689</v>
      </c>
      <c r="C283" s="1" t="s">
        <v>24</v>
      </c>
      <c r="D283" s="1" t="s">
        <v>18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</row>
    <row r="284" spans="1:14">
      <c r="A284" s="1" t="s">
        <v>92</v>
      </c>
      <c r="B284" s="3">
        <v>45717</v>
      </c>
      <c r="C284" s="1" t="s">
        <v>24</v>
      </c>
      <c r="D284" s="1" t="s">
        <v>18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</row>
    <row r="285" spans="1:14">
      <c r="A285" s="1" t="s">
        <v>92</v>
      </c>
      <c r="B285" s="3">
        <v>45748</v>
      </c>
      <c r="C285" s="1" t="s">
        <v>24</v>
      </c>
      <c r="D285" s="1" t="s">
        <v>18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</row>
    <row r="286" spans="1:14">
      <c r="A286" s="1" t="s">
        <v>93</v>
      </c>
      <c r="B286" s="3">
        <v>45658</v>
      </c>
      <c r="C286" s="1" t="s">
        <v>27</v>
      </c>
      <c r="D286" s="1" t="s">
        <v>16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</row>
    <row r="287" spans="1:14">
      <c r="A287" s="1" t="s">
        <v>93</v>
      </c>
      <c r="B287" s="3">
        <v>45689</v>
      </c>
      <c r="C287" s="1" t="s">
        <v>27</v>
      </c>
      <c r="D287" s="1" t="s">
        <v>16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</row>
    <row r="288" spans="1:14">
      <c r="A288" s="1" t="s">
        <v>93</v>
      </c>
      <c r="B288" s="3">
        <v>45717</v>
      </c>
      <c r="C288" s="1" t="s">
        <v>27</v>
      </c>
      <c r="D288" s="1" t="s">
        <v>16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</row>
    <row r="289" spans="1:14">
      <c r="A289" s="1" t="s">
        <v>93</v>
      </c>
      <c r="B289" s="3">
        <v>45748</v>
      </c>
      <c r="C289" s="1" t="s">
        <v>27</v>
      </c>
      <c r="D289" s="1" t="s">
        <v>16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</row>
    <row r="290" spans="1:14">
      <c r="A290" s="1" t="s">
        <v>94</v>
      </c>
      <c r="B290" s="3">
        <v>45658</v>
      </c>
      <c r="C290" s="1" t="s">
        <v>15</v>
      </c>
      <c r="D290" s="1" t="s">
        <v>16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</row>
    <row r="291" spans="1:14">
      <c r="A291" s="1" t="s">
        <v>94</v>
      </c>
      <c r="B291" s="3">
        <v>45689</v>
      </c>
      <c r="C291" s="1" t="s">
        <v>15</v>
      </c>
      <c r="D291" s="1" t="s">
        <v>16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</row>
    <row r="292" spans="1:14">
      <c r="A292" s="1" t="s">
        <v>94</v>
      </c>
      <c r="B292" s="3">
        <v>45717</v>
      </c>
      <c r="C292" s="1" t="s">
        <v>15</v>
      </c>
      <c r="D292" s="1" t="s">
        <v>16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</row>
    <row r="293" spans="1:14">
      <c r="A293" s="1" t="s">
        <v>94</v>
      </c>
      <c r="B293" s="3">
        <v>45748</v>
      </c>
      <c r="C293" s="1" t="s">
        <v>15</v>
      </c>
      <c r="D293" s="1" t="s">
        <v>16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</row>
    <row r="294" spans="1:14">
      <c r="A294" s="1" t="s">
        <v>95</v>
      </c>
      <c r="B294" s="3">
        <v>45658</v>
      </c>
      <c r="C294" s="1" t="s">
        <v>27</v>
      </c>
      <c r="D294" s="1" t="s">
        <v>18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</row>
    <row r="295" spans="1:14">
      <c r="A295" s="1" t="s">
        <v>95</v>
      </c>
      <c r="B295" s="3">
        <v>45689</v>
      </c>
      <c r="C295" s="1" t="s">
        <v>27</v>
      </c>
      <c r="D295" s="1" t="s">
        <v>18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</row>
    <row r="296" spans="1:14">
      <c r="A296" s="1" t="s">
        <v>95</v>
      </c>
      <c r="B296" s="3">
        <v>45717</v>
      </c>
      <c r="C296" s="1" t="s">
        <v>27</v>
      </c>
      <c r="D296" s="1" t="s">
        <v>18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</row>
    <row r="297" spans="1:14">
      <c r="A297" s="1" t="s">
        <v>95</v>
      </c>
      <c r="B297" s="3">
        <v>45748</v>
      </c>
      <c r="C297" s="1" t="s">
        <v>27</v>
      </c>
      <c r="D297" s="1" t="s">
        <v>18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</row>
    <row r="298" spans="1:14">
      <c r="A298" s="1" t="s">
        <v>96</v>
      </c>
      <c r="B298" s="3">
        <v>45658</v>
      </c>
      <c r="C298" s="1" t="s">
        <v>27</v>
      </c>
      <c r="D298" s="1" t="s">
        <v>18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</row>
    <row r="299" spans="1:14">
      <c r="A299" s="1" t="s">
        <v>96</v>
      </c>
      <c r="B299" s="3">
        <v>45689</v>
      </c>
      <c r="C299" s="1" t="s">
        <v>27</v>
      </c>
      <c r="D299" s="1" t="s">
        <v>18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</row>
    <row r="300" spans="1:14">
      <c r="A300" s="1" t="s">
        <v>96</v>
      </c>
      <c r="B300" s="3">
        <v>45717</v>
      </c>
      <c r="C300" s="1" t="s">
        <v>27</v>
      </c>
      <c r="D300" s="1" t="s">
        <v>18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</row>
    <row r="301" spans="1:14">
      <c r="A301" s="1" t="s">
        <v>96</v>
      </c>
      <c r="B301" s="3">
        <v>45748</v>
      </c>
      <c r="C301" s="1" t="s">
        <v>27</v>
      </c>
      <c r="D301" s="1" t="s">
        <v>18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</row>
    <row r="302" spans="1:14">
      <c r="A302" s="1" t="s">
        <v>97</v>
      </c>
      <c r="B302" s="3">
        <v>45658</v>
      </c>
      <c r="C302" s="1" t="s">
        <v>20</v>
      </c>
      <c r="D302" s="1" t="s">
        <v>28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</row>
    <row r="303" spans="1:14">
      <c r="A303" s="1" t="s">
        <v>97</v>
      </c>
      <c r="B303" s="3">
        <v>45689</v>
      </c>
      <c r="C303" s="1" t="s">
        <v>20</v>
      </c>
      <c r="D303" s="1" t="s">
        <v>28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</row>
    <row r="304" spans="1:14">
      <c r="A304" s="1" t="s">
        <v>97</v>
      </c>
      <c r="B304" s="3">
        <v>45717</v>
      </c>
      <c r="C304" s="1" t="s">
        <v>20</v>
      </c>
      <c r="D304" s="1" t="s">
        <v>28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</row>
    <row r="305" spans="1:14">
      <c r="A305" s="1" t="s">
        <v>97</v>
      </c>
      <c r="B305" s="3">
        <v>45748</v>
      </c>
      <c r="C305" s="1" t="s">
        <v>20</v>
      </c>
      <c r="D305" s="1" t="s">
        <v>28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</row>
    <row r="306" spans="1:14">
      <c r="A306" s="1" t="s">
        <v>98</v>
      </c>
      <c r="B306" s="3">
        <v>45658</v>
      </c>
      <c r="C306" s="1" t="s">
        <v>24</v>
      </c>
      <c r="D306" s="1" t="s">
        <v>16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</row>
    <row r="307" spans="1:14">
      <c r="A307" s="1" t="s">
        <v>98</v>
      </c>
      <c r="B307" s="3">
        <v>45689</v>
      </c>
      <c r="C307" s="1" t="s">
        <v>24</v>
      </c>
      <c r="D307" s="1" t="s">
        <v>16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</row>
    <row r="308" spans="1:14">
      <c r="A308" s="1" t="s">
        <v>98</v>
      </c>
      <c r="B308" s="3">
        <v>45717</v>
      </c>
      <c r="C308" s="1" t="s">
        <v>24</v>
      </c>
      <c r="D308" s="1" t="s">
        <v>16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</row>
    <row r="309" spans="1:14">
      <c r="A309" s="1" t="s">
        <v>98</v>
      </c>
      <c r="B309" s="3">
        <v>45748</v>
      </c>
      <c r="C309" s="1" t="s">
        <v>24</v>
      </c>
      <c r="D309" s="1" t="s">
        <v>16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</row>
    <row r="310" spans="1:14">
      <c r="A310" s="1" t="s">
        <v>99</v>
      </c>
      <c r="B310" s="3">
        <v>45658</v>
      </c>
      <c r="C310" s="1" t="s">
        <v>24</v>
      </c>
      <c r="D310" s="1" t="s">
        <v>18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</row>
    <row r="311" spans="1:14">
      <c r="A311" s="1" t="s">
        <v>99</v>
      </c>
      <c r="B311" s="3">
        <v>45689</v>
      </c>
      <c r="C311" s="1" t="s">
        <v>24</v>
      </c>
      <c r="D311" s="1" t="s">
        <v>18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</row>
    <row r="312" spans="1:14">
      <c r="A312" s="1" t="s">
        <v>99</v>
      </c>
      <c r="B312" s="3">
        <v>45717</v>
      </c>
      <c r="C312" s="1" t="s">
        <v>24</v>
      </c>
      <c r="D312" s="1" t="s">
        <v>18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</row>
    <row r="313" spans="1:14">
      <c r="A313" s="1" t="s">
        <v>99</v>
      </c>
      <c r="B313" s="3">
        <v>45748</v>
      </c>
      <c r="C313" s="1" t="s">
        <v>24</v>
      </c>
      <c r="D313" s="1" t="s">
        <v>18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/>
      <c r="M313" s="1">
        <v>771129.07</v>
      </c>
      <c r="N313" s="1">
        <v>116851.13</v>
      </c>
    </row>
    <row r="314" spans="1:14">
      <c r="A314" s="1" t="s">
        <v>100</v>
      </c>
      <c r="B314" s="3">
        <v>45658</v>
      </c>
      <c r="C314" s="1" t="s">
        <v>20</v>
      </c>
      <c r="D314" s="1" t="s">
        <v>16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</row>
    <row r="315" spans="1:14">
      <c r="A315" s="1" t="s">
        <v>100</v>
      </c>
      <c r="B315" s="3">
        <v>45689</v>
      </c>
      <c r="C315" s="1" t="s">
        <v>20</v>
      </c>
      <c r="D315" s="1" t="s">
        <v>16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/>
      <c r="M315" s="1">
        <v>688368.46</v>
      </c>
      <c r="N315" s="1">
        <v>93588.42</v>
      </c>
    </row>
    <row r="316" spans="1:14">
      <c r="A316" s="1" t="s">
        <v>100</v>
      </c>
      <c r="B316" s="3">
        <v>45717</v>
      </c>
      <c r="C316" s="1" t="s">
        <v>20</v>
      </c>
      <c r="D316" s="1" t="s">
        <v>16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</row>
    <row r="317" spans="1:14">
      <c r="A317" s="1" t="s">
        <v>100</v>
      </c>
      <c r="B317" s="3">
        <v>45748</v>
      </c>
      <c r="C317" s="1" t="s">
        <v>20</v>
      </c>
      <c r="D317" s="1" t="s">
        <v>16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</row>
    <row r="318" spans="1:14">
      <c r="A318" s="1" t="s">
        <v>101</v>
      </c>
      <c r="B318" s="3">
        <v>45658</v>
      </c>
      <c r="C318" s="1" t="s">
        <v>15</v>
      </c>
      <c r="D318" s="1" t="s">
        <v>16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</row>
    <row r="319" spans="1:14">
      <c r="A319" s="1" t="s">
        <v>101</v>
      </c>
      <c r="B319" s="3">
        <v>45689</v>
      </c>
      <c r="C319" s="1" t="s">
        <v>15</v>
      </c>
      <c r="D319" s="1" t="s">
        <v>16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</row>
    <row r="320" spans="1:14">
      <c r="A320" s="1" t="s">
        <v>101</v>
      </c>
      <c r="B320" s="3">
        <v>45717</v>
      </c>
      <c r="C320" s="1" t="s">
        <v>15</v>
      </c>
      <c r="D320" s="1" t="s">
        <v>16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</row>
    <row r="321" spans="1:14">
      <c r="A321" s="1" t="s">
        <v>101</v>
      </c>
      <c r="B321" s="3">
        <v>45748</v>
      </c>
      <c r="C321" s="1" t="s">
        <v>15</v>
      </c>
      <c r="D321" s="1" t="s">
        <v>16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7BCF-38A1-490B-9E8C-0FC1CA885AFA}">
  <dimension ref="A1:N321"/>
  <sheetViews>
    <sheetView topLeftCell="G127" workbookViewId="0">
      <selection activeCell="S8" sqref="S8"/>
    </sheetView>
  </sheetViews>
  <sheetFormatPr defaultRowHeight="14.5"/>
  <cols>
    <col min="4" max="4" width="11" customWidth="1"/>
    <col min="5" max="5" width="10.6328125" bestFit="1" customWidth="1"/>
    <col min="7" max="8" width="10.54296875" customWidth="1"/>
    <col min="9" max="9" width="13" customWidth="1"/>
    <col min="10" max="10" width="13.6328125" customWidth="1"/>
  </cols>
  <sheetData>
    <row r="1" spans="1:14" ht="4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3">
        <v>45658</v>
      </c>
      <c r="C2" s="1" t="s">
        <v>15</v>
      </c>
      <c r="D2" s="1" t="s">
        <v>16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</row>
    <row r="3" spans="1:14">
      <c r="A3" s="1" t="s">
        <v>14</v>
      </c>
      <c r="B3" s="3">
        <v>45689</v>
      </c>
      <c r="C3" s="1" t="s">
        <v>15</v>
      </c>
      <c r="D3" s="1" t="s">
        <v>16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</row>
    <row r="4" spans="1:14">
      <c r="A4" s="1" t="s">
        <v>14</v>
      </c>
      <c r="B4" s="3">
        <v>45717</v>
      </c>
      <c r="C4" s="1" t="s">
        <v>15</v>
      </c>
      <c r="D4" s="1" t="s">
        <v>16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</row>
    <row r="5" spans="1:14">
      <c r="A5" s="1" t="s">
        <v>14</v>
      </c>
      <c r="B5" s="3">
        <v>45748</v>
      </c>
      <c r="C5" s="1" t="s">
        <v>15</v>
      </c>
      <c r="D5" s="1" t="s">
        <v>16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</row>
    <row r="6" spans="1:14">
      <c r="A6" s="1" t="s">
        <v>17</v>
      </c>
      <c r="B6" s="3">
        <v>45658</v>
      </c>
      <c r="C6" s="1" t="s">
        <v>15</v>
      </c>
      <c r="D6" s="1" t="s">
        <v>18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</row>
    <row r="7" spans="1:14">
      <c r="A7" s="1" t="s">
        <v>17</v>
      </c>
      <c r="B7" s="3">
        <v>45689</v>
      </c>
      <c r="C7" s="1" t="s">
        <v>15</v>
      </c>
      <c r="D7" s="1" t="s">
        <v>18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</row>
    <row r="8" spans="1:14">
      <c r="A8" s="1" t="s">
        <v>17</v>
      </c>
      <c r="B8" s="3">
        <v>45717</v>
      </c>
      <c r="C8" s="1" t="s">
        <v>15</v>
      </c>
      <c r="D8" s="1" t="s">
        <v>18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</row>
    <row r="9" spans="1:14">
      <c r="A9" s="1" t="s">
        <v>17</v>
      </c>
      <c r="B9" s="3">
        <v>45748</v>
      </c>
      <c r="C9" s="1" t="s">
        <v>15</v>
      </c>
      <c r="D9" s="1" t="s">
        <v>18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</row>
    <row r="10" spans="1:14">
      <c r="A10" s="1" t="s">
        <v>19</v>
      </c>
      <c r="B10" s="3">
        <v>45658</v>
      </c>
      <c r="C10" s="1" t="s">
        <v>20</v>
      </c>
      <c r="D10" s="1" t="s">
        <v>21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</row>
    <row r="11" spans="1:14">
      <c r="A11" s="1" t="s">
        <v>19</v>
      </c>
      <c r="B11" s="3">
        <v>45689</v>
      </c>
      <c r="C11" s="1" t="s">
        <v>20</v>
      </c>
      <c r="D11" s="1" t="s">
        <v>21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</row>
    <row r="12" spans="1:14">
      <c r="A12" s="1" t="s">
        <v>19</v>
      </c>
      <c r="B12" s="3">
        <v>45717</v>
      </c>
      <c r="C12" s="1" t="s">
        <v>20</v>
      </c>
      <c r="D12" s="1" t="s">
        <v>21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</row>
    <row r="13" spans="1:14">
      <c r="A13" s="1" t="s">
        <v>19</v>
      </c>
      <c r="B13" s="3">
        <v>45748</v>
      </c>
      <c r="C13" s="1" t="s">
        <v>20</v>
      </c>
      <c r="D13" s="1" t="s">
        <v>21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</row>
    <row r="14" spans="1:14">
      <c r="A14" s="1" t="s">
        <v>22</v>
      </c>
      <c r="B14" s="3">
        <v>45658</v>
      </c>
      <c r="C14" s="1" t="s">
        <v>15</v>
      </c>
      <c r="D14" s="1" t="s">
        <v>16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</row>
    <row r="15" spans="1:14">
      <c r="A15" s="1" t="s">
        <v>22</v>
      </c>
      <c r="B15" s="3">
        <v>45689</v>
      </c>
      <c r="C15" s="1" t="s">
        <v>15</v>
      </c>
      <c r="D15" s="1" t="s">
        <v>16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</row>
    <row r="16" spans="1:14">
      <c r="A16" s="1" t="s">
        <v>22</v>
      </c>
      <c r="B16" s="3">
        <v>45717</v>
      </c>
      <c r="C16" s="1" t="s">
        <v>15</v>
      </c>
      <c r="D16" s="1" t="s">
        <v>16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</row>
    <row r="17" spans="1:14">
      <c r="A17" s="1" t="s">
        <v>22</v>
      </c>
      <c r="B17" s="3">
        <v>45748</v>
      </c>
      <c r="C17" s="1" t="s">
        <v>15</v>
      </c>
      <c r="D17" s="1" t="s">
        <v>16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</row>
    <row r="18" spans="1:14">
      <c r="A18" s="1" t="s">
        <v>23</v>
      </c>
      <c r="B18" s="3">
        <v>45658</v>
      </c>
      <c r="C18" s="1" t="s">
        <v>24</v>
      </c>
      <c r="D18" s="1" t="s">
        <v>16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</row>
    <row r="19" spans="1:14">
      <c r="A19" s="1" t="s">
        <v>23</v>
      </c>
      <c r="B19" s="3">
        <v>45689</v>
      </c>
      <c r="C19" s="1" t="s">
        <v>24</v>
      </c>
      <c r="D19" s="1" t="s">
        <v>16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</row>
    <row r="20" spans="1:14">
      <c r="A20" s="1" t="s">
        <v>23</v>
      </c>
      <c r="B20" s="3">
        <v>45717</v>
      </c>
      <c r="C20" s="1" t="s">
        <v>24</v>
      </c>
      <c r="D20" s="1" t="s">
        <v>16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</row>
    <row r="21" spans="1:14">
      <c r="A21" s="1" t="s">
        <v>23</v>
      </c>
      <c r="B21" s="3">
        <v>45748</v>
      </c>
      <c r="C21" s="1" t="s">
        <v>24</v>
      </c>
      <c r="D21" s="1" t="s">
        <v>16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</row>
    <row r="22" spans="1:14">
      <c r="A22" s="1" t="s">
        <v>25</v>
      </c>
      <c r="B22" s="3">
        <v>45658</v>
      </c>
      <c r="C22" s="1" t="s">
        <v>20</v>
      </c>
      <c r="D22" s="1" t="s">
        <v>16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</row>
    <row r="23" spans="1:14">
      <c r="A23" s="1" t="s">
        <v>25</v>
      </c>
      <c r="B23" s="3">
        <v>45689</v>
      </c>
      <c r="C23" s="1" t="s">
        <v>20</v>
      </c>
      <c r="D23" s="1" t="s">
        <v>16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</row>
    <row r="24" spans="1:14">
      <c r="A24" s="1" t="s">
        <v>25</v>
      </c>
      <c r="B24" s="3">
        <v>45717</v>
      </c>
      <c r="C24" s="1" t="s">
        <v>20</v>
      </c>
      <c r="D24" s="1" t="s">
        <v>16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</row>
    <row r="25" spans="1:14">
      <c r="A25" s="1" t="s">
        <v>25</v>
      </c>
      <c r="B25" s="3">
        <v>45748</v>
      </c>
      <c r="C25" s="1" t="s">
        <v>20</v>
      </c>
      <c r="D25" s="1" t="s">
        <v>16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</row>
    <row r="26" spans="1:14">
      <c r="A26" s="1" t="s">
        <v>26</v>
      </c>
      <c r="B26" s="3">
        <v>45658</v>
      </c>
      <c r="C26" s="1" t="s">
        <v>27</v>
      </c>
      <c r="D26" s="1" t="s">
        <v>28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</row>
    <row r="27" spans="1:14">
      <c r="A27" s="1" t="s">
        <v>26</v>
      </c>
      <c r="B27" s="3">
        <v>45689</v>
      </c>
      <c r="C27" s="1" t="s">
        <v>27</v>
      </c>
      <c r="D27" s="1" t="s">
        <v>28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</row>
    <row r="28" spans="1:14">
      <c r="A28" s="1" t="s">
        <v>26</v>
      </c>
      <c r="B28" s="3">
        <v>45717</v>
      </c>
      <c r="C28" s="1" t="s">
        <v>27</v>
      </c>
      <c r="D28" s="1" t="s">
        <v>28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</row>
    <row r="29" spans="1:14">
      <c r="A29" s="1" t="s">
        <v>26</v>
      </c>
      <c r="B29" s="3">
        <v>45748</v>
      </c>
      <c r="C29" s="1" t="s">
        <v>27</v>
      </c>
      <c r="D29" s="1" t="s">
        <v>28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</row>
    <row r="30" spans="1:14">
      <c r="A30" s="1" t="s">
        <v>29</v>
      </c>
      <c r="B30" s="3">
        <v>45658</v>
      </c>
      <c r="C30" s="1" t="s">
        <v>15</v>
      </c>
      <c r="D30" s="1" t="s">
        <v>16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</row>
    <row r="31" spans="1:14">
      <c r="A31" s="1" t="s">
        <v>29</v>
      </c>
      <c r="B31" s="3">
        <v>45689</v>
      </c>
      <c r="C31" s="1" t="s">
        <v>15</v>
      </c>
      <c r="D31" s="1" t="s">
        <v>16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</row>
    <row r="32" spans="1:14">
      <c r="A32" s="1" t="s">
        <v>29</v>
      </c>
      <c r="B32" s="3">
        <v>45717</v>
      </c>
      <c r="C32" s="1" t="s">
        <v>15</v>
      </c>
      <c r="D32" s="1" t="s">
        <v>16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</row>
    <row r="33" spans="1:14">
      <c r="A33" s="1" t="s">
        <v>29</v>
      </c>
      <c r="B33" s="3">
        <v>45748</v>
      </c>
      <c r="C33" s="1" t="s">
        <v>15</v>
      </c>
      <c r="D33" s="1" t="s">
        <v>16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</row>
    <row r="34" spans="1:14">
      <c r="A34" s="1" t="s">
        <v>30</v>
      </c>
      <c r="B34" s="3">
        <v>45658</v>
      </c>
      <c r="C34" s="1" t="s">
        <v>20</v>
      </c>
      <c r="D34" s="1" t="s">
        <v>16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</row>
    <row r="35" spans="1:14">
      <c r="A35" s="1" t="s">
        <v>30</v>
      </c>
      <c r="B35" s="3">
        <v>45689</v>
      </c>
      <c r="C35" s="1" t="s">
        <v>20</v>
      </c>
      <c r="D35" s="1" t="s">
        <v>16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>
        <v>3.92</v>
      </c>
      <c r="M35" s="1">
        <v>799477.76000000001</v>
      </c>
      <c r="N35" s="1">
        <v>164974.41</v>
      </c>
    </row>
    <row r="36" spans="1:14">
      <c r="A36" s="1" t="s">
        <v>30</v>
      </c>
      <c r="B36" s="3">
        <v>45717</v>
      </c>
      <c r="C36" s="1" t="s">
        <v>20</v>
      </c>
      <c r="D36" s="1" t="s">
        <v>16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</row>
    <row r="37" spans="1:14">
      <c r="A37" s="1" t="s">
        <v>30</v>
      </c>
      <c r="B37" s="3">
        <v>45748</v>
      </c>
      <c r="C37" s="1" t="s">
        <v>20</v>
      </c>
      <c r="D37" s="1" t="s">
        <v>16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</row>
    <row r="38" spans="1:14">
      <c r="A38" s="1" t="s">
        <v>31</v>
      </c>
      <c r="B38" s="3">
        <v>45658</v>
      </c>
      <c r="C38" s="1" t="s">
        <v>20</v>
      </c>
      <c r="D38" s="1" t="s">
        <v>28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</row>
    <row r="39" spans="1:14">
      <c r="A39" s="1" t="s">
        <v>31</v>
      </c>
      <c r="B39" s="3">
        <v>45689</v>
      </c>
      <c r="C39" s="1" t="s">
        <v>20</v>
      </c>
      <c r="D39" s="1" t="s">
        <v>28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</row>
    <row r="40" spans="1:14">
      <c r="A40" s="1" t="s">
        <v>31</v>
      </c>
      <c r="B40" s="3">
        <v>45717</v>
      </c>
      <c r="C40" s="1" t="s">
        <v>20</v>
      </c>
      <c r="D40" s="1" t="s">
        <v>28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</row>
    <row r="41" spans="1:14">
      <c r="A41" s="1" t="s">
        <v>31</v>
      </c>
      <c r="B41" s="3">
        <v>45748</v>
      </c>
      <c r="C41" s="1" t="s">
        <v>20</v>
      </c>
      <c r="D41" s="1" t="s">
        <v>28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</row>
    <row r="42" spans="1:14">
      <c r="A42" s="1" t="s">
        <v>32</v>
      </c>
      <c r="B42" s="3">
        <v>45658</v>
      </c>
      <c r="C42" s="1" t="s">
        <v>15</v>
      </c>
      <c r="D42" s="1" t="s">
        <v>28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</row>
    <row r="43" spans="1:14">
      <c r="A43" s="1" t="s">
        <v>32</v>
      </c>
      <c r="B43" s="3">
        <v>45689</v>
      </c>
      <c r="C43" s="1" t="s">
        <v>15</v>
      </c>
      <c r="D43" s="1" t="s">
        <v>28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</row>
    <row r="44" spans="1:14">
      <c r="A44" s="1" t="s">
        <v>32</v>
      </c>
      <c r="B44" s="3">
        <v>45717</v>
      </c>
      <c r="C44" s="1" t="s">
        <v>15</v>
      </c>
      <c r="D44" s="1" t="s">
        <v>28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</row>
    <row r="45" spans="1:14">
      <c r="A45" s="1" t="s">
        <v>32</v>
      </c>
      <c r="B45" s="3">
        <v>45748</v>
      </c>
      <c r="C45" s="1" t="s">
        <v>15</v>
      </c>
      <c r="D45" s="1" t="s">
        <v>28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</row>
    <row r="46" spans="1:14">
      <c r="A46" s="1" t="s">
        <v>33</v>
      </c>
      <c r="B46" s="3">
        <v>45658</v>
      </c>
      <c r="C46" s="1" t="s">
        <v>27</v>
      </c>
      <c r="D46" s="1" t="s">
        <v>16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</row>
    <row r="47" spans="1:14">
      <c r="A47" s="1" t="s">
        <v>33</v>
      </c>
      <c r="B47" s="3">
        <v>45689</v>
      </c>
      <c r="C47" s="1" t="s">
        <v>27</v>
      </c>
      <c r="D47" s="1" t="s">
        <v>16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</row>
    <row r="48" spans="1:14">
      <c r="A48" s="1" t="s">
        <v>33</v>
      </c>
      <c r="B48" s="3">
        <v>45717</v>
      </c>
      <c r="C48" s="1" t="s">
        <v>27</v>
      </c>
      <c r="D48" s="1" t="s">
        <v>16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</row>
    <row r="49" spans="1:14">
      <c r="A49" s="1" t="s">
        <v>33</v>
      </c>
      <c r="B49" s="3">
        <v>45748</v>
      </c>
      <c r="C49" s="1" t="s">
        <v>27</v>
      </c>
      <c r="D49" s="1" t="s">
        <v>16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</row>
    <row r="50" spans="1:14">
      <c r="A50" s="1" t="s">
        <v>34</v>
      </c>
      <c r="B50" s="3">
        <v>45658</v>
      </c>
      <c r="C50" s="1" t="s">
        <v>20</v>
      </c>
      <c r="D50" s="1" t="s">
        <v>28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</row>
    <row r="51" spans="1:14">
      <c r="A51" s="1" t="s">
        <v>34</v>
      </c>
      <c r="B51" s="3">
        <v>45689</v>
      </c>
      <c r="C51" s="1" t="s">
        <v>20</v>
      </c>
      <c r="D51" s="1" t="s">
        <v>28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</row>
    <row r="52" spans="1:14">
      <c r="A52" s="1" t="s">
        <v>34</v>
      </c>
      <c r="B52" s="3">
        <v>45717</v>
      </c>
      <c r="C52" s="1" t="s">
        <v>20</v>
      </c>
      <c r="D52" s="1" t="s">
        <v>28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</row>
    <row r="53" spans="1:14">
      <c r="A53" s="1" t="s">
        <v>34</v>
      </c>
      <c r="B53" s="3">
        <v>45748</v>
      </c>
      <c r="C53" s="1" t="s">
        <v>20</v>
      </c>
      <c r="D53" s="1" t="s">
        <v>28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</row>
    <row r="54" spans="1:14">
      <c r="A54" s="1" t="s">
        <v>35</v>
      </c>
      <c r="B54" s="3">
        <v>45658</v>
      </c>
      <c r="C54" s="1" t="s">
        <v>27</v>
      </c>
      <c r="D54" s="1" t="s">
        <v>18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</row>
    <row r="55" spans="1:14">
      <c r="A55" s="1" t="s">
        <v>35</v>
      </c>
      <c r="B55" s="3">
        <v>45689</v>
      </c>
      <c r="C55" s="1" t="s">
        <v>27</v>
      </c>
      <c r="D55" s="1" t="s">
        <v>18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</row>
    <row r="56" spans="1:14">
      <c r="A56" s="1" t="s">
        <v>35</v>
      </c>
      <c r="B56" s="3">
        <v>45717</v>
      </c>
      <c r="C56" s="1" t="s">
        <v>27</v>
      </c>
      <c r="D56" s="1" t="s">
        <v>18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</row>
    <row r="57" spans="1:14">
      <c r="A57" s="1" t="s">
        <v>35</v>
      </c>
      <c r="B57" s="3">
        <v>45748</v>
      </c>
      <c r="C57" s="1" t="s">
        <v>27</v>
      </c>
      <c r="D57" s="1" t="s">
        <v>18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</row>
    <row r="58" spans="1:14">
      <c r="A58" s="1" t="s">
        <v>36</v>
      </c>
      <c r="B58" s="3">
        <v>45658</v>
      </c>
      <c r="C58" s="1" t="s">
        <v>15</v>
      </c>
      <c r="D58" s="1" t="s">
        <v>21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</row>
    <row r="59" spans="1:14">
      <c r="A59" s="1" t="s">
        <v>36</v>
      </c>
      <c r="B59" s="3">
        <v>45689</v>
      </c>
      <c r="C59" s="1" t="s">
        <v>15</v>
      </c>
      <c r="D59" s="1" t="s">
        <v>21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</row>
    <row r="60" spans="1:14">
      <c r="A60" s="1" t="s">
        <v>36</v>
      </c>
      <c r="B60" s="3">
        <v>45717</v>
      </c>
      <c r="C60" s="1" t="s">
        <v>15</v>
      </c>
      <c r="D60" s="1" t="s">
        <v>21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</row>
    <row r="61" spans="1:14">
      <c r="A61" s="1" t="s">
        <v>36</v>
      </c>
      <c r="B61" s="3">
        <v>45748</v>
      </c>
      <c r="C61" s="1" t="s">
        <v>15</v>
      </c>
      <c r="D61" s="1" t="s">
        <v>21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</row>
    <row r="62" spans="1:14">
      <c r="A62" s="1" t="s">
        <v>37</v>
      </c>
      <c r="B62" s="3">
        <v>45658</v>
      </c>
      <c r="C62" s="1" t="s">
        <v>24</v>
      </c>
      <c r="D62" s="1" t="s">
        <v>18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</row>
    <row r="63" spans="1:14">
      <c r="A63" s="1" t="s">
        <v>37</v>
      </c>
      <c r="B63" s="3">
        <v>45689</v>
      </c>
      <c r="C63" s="1" t="s">
        <v>24</v>
      </c>
      <c r="D63" s="1" t="s">
        <v>18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</row>
    <row r="64" spans="1:14">
      <c r="A64" s="1" t="s">
        <v>37</v>
      </c>
      <c r="B64" s="3">
        <v>45717</v>
      </c>
      <c r="C64" s="1" t="s">
        <v>24</v>
      </c>
      <c r="D64" s="1" t="s">
        <v>18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</row>
    <row r="65" spans="1:14">
      <c r="A65" s="1" t="s">
        <v>37</v>
      </c>
      <c r="B65" s="3">
        <v>45748</v>
      </c>
      <c r="C65" s="1" t="s">
        <v>24</v>
      </c>
      <c r="D65" s="1" t="s">
        <v>18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</row>
    <row r="66" spans="1:14">
      <c r="A66" s="1" t="s">
        <v>38</v>
      </c>
      <c r="B66" s="3">
        <v>45658</v>
      </c>
      <c r="C66" s="1" t="s">
        <v>27</v>
      </c>
      <c r="D66" s="1" t="s">
        <v>18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</row>
    <row r="67" spans="1:14">
      <c r="A67" s="1" t="s">
        <v>38</v>
      </c>
      <c r="B67" s="3">
        <v>45689</v>
      </c>
      <c r="C67" s="1" t="s">
        <v>27</v>
      </c>
      <c r="D67" s="1" t="s">
        <v>18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</row>
    <row r="68" spans="1:14">
      <c r="A68" s="1" t="s">
        <v>38</v>
      </c>
      <c r="B68" s="3">
        <v>45717</v>
      </c>
      <c r="C68" s="1" t="s">
        <v>27</v>
      </c>
      <c r="D68" s="1" t="s">
        <v>18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</row>
    <row r="69" spans="1:14">
      <c r="A69" s="1" t="s">
        <v>38</v>
      </c>
      <c r="B69" s="3">
        <v>45748</v>
      </c>
      <c r="C69" s="1" t="s">
        <v>27</v>
      </c>
      <c r="D69" s="1" t="s">
        <v>18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</row>
    <row r="70" spans="1:14">
      <c r="A70" s="1" t="s">
        <v>39</v>
      </c>
      <c r="B70" s="3">
        <v>45658</v>
      </c>
      <c r="C70" s="1" t="s">
        <v>15</v>
      </c>
      <c r="D70" s="1" t="s">
        <v>18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</row>
    <row r="71" spans="1:14">
      <c r="A71" s="1" t="s">
        <v>39</v>
      </c>
      <c r="B71" s="3">
        <v>45689</v>
      </c>
      <c r="C71" s="1" t="s">
        <v>15</v>
      </c>
      <c r="D71" s="1" t="s">
        <v>18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</row>
    <row r="72" spans="1:14">
      <c r="A72" s="1" t="s">
        <v>39</v>
      </c>
      <c r="B72" s="3">
        <v>45717</v>
      </c>
      <c r="C72" s="1" t="s">
        <v>15</v>
      </c>
      <c r="D72" s="1" t="s">
        <v>18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</row>
    <row r="73" spans="1:14">
      <c r="A73" s="1" t="s">
        <v>39</v>
      </c>
      <c r="B73" s="3">
        <v>45748</v>
      </c>
      <c r="C73" s="1" t="s">
        <v>15</v>
      </c>
      <c r="D73" s="1" t="s">
        <v>18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>
        <v>4.5590450000000002</v>
      </c>
      <c r="K73" s="1">
        <v>0</v>
      </c>
      <c r="L73" s="1">
        <v>3.5</v>
      </c>
      <c r="M73" s="1">
        <v>674774.09</v>
      </c>
      <c r="N73" s="1">
        <v>141917.59</v>
      </c>
    </row>
    <row r="74" spans="1:14">
      <c r="A74" s="1" t="s">
        <v>40</v>
      </c>
      <c r="B74" s="3">
        <v>45658</v>
      </c>
      <c r="C74" s="1" t="s">
        <v>15</v>
      </c>
      <c r="D74" s="1" t="s">
        <v>16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</row>
    <row r="75" spans="1:14">
      <c r="A75" s="1" t="s">
        <v>40</v>
      </c>
      <c r="B75" s="3">
        <v>45689</v>
      </c>
      <c r="C75" s="1" t="s">
        <v>15</v>
      </c>
      <c r="D75" s="1" t="s">
        <v>16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</row>
    <row r="76" spans="1:14">
      <c r="A76" s="1" t="s">
        <v>40</v>
      </c>
      <c r="B76" s="3">
        <v>45717</v>
      </c>
      <c r="C76" s="1" t="s">
        <v>15</v>
      </c>
      <c r="D76" s="1" t="s">
        <v>16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</row>
    <row r="77" spans="1:14">
      <c r="A77" s="1" t="s">
        <v>40</v>
      </c>
      <c r="B77" s="3">
        <v>45748</v>
      </c>
      <c r="C77" s="1" t="s">
        <v>15</v>
      </c>
      <c r="D77" s="1" t="s">
        <v>16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</row>
    <row r="78" spans="1:14">
      <c r="A78" s="1" t="s">
        <v>41</v>
      </c>
      <c r="B78" s="3">
        <v>45658</v>
      </c>
      <c r="C78" s="1" t="s">
        <v>24</v>
      </c>
      <c r="D78" s="1" t="s">
        <v>18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</row>
    <row r="79" spans="1:14">
      <c r="A79" s="1" t="s">
        <v>41</v>
      </c>
      <c r="B79" s="3">
        <v>45689</v>
      </c>
      <c r="C79" s="1" t="s">
        <v>24</v>
      </c>
      <c r="D79" s="1" t="s">
        <v>18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</row>
    <row r="80" spans="1:14">
      <c r="A80" s="1" t="s">
        <v>41</v>
      </c>
      <c r="B80" s="3">
        <v>45717</v>
      </c>
      <c r="C80" s="1" t="s">
        <v>24</v>
      </c>
      <c r="D80" s="1" t="s">
        <v>18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</row>
    <row r="81" spans="1:14">
      <c r="A81" s="1" t="s">
        <v>41</v>
      </c>
      <c r="B81" s="3">
        <v>45748</v>
      </c>
      <c r="C81" s="1" t="s">
        <v>24</v>
      </c>
      <c r="D81" s="1" t="s">
        <v>18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</row>
    <row r="82" spans="1:14">
      <c r="A82" s="1" t="s">
        <v>42</v>
      </c>
      <c r="B82" s="3">
        <v>45658</v>
      </c>
      <c r="C82" s="1" t="s">
        <v>27</v>
      </c>
      <c r="D82" s="1" t="s">
        <v>28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</row>
    <row r="83" spans="1:14">
      <c r="A83" s="1" t="s">
        <v>42</v>
      </c>
      <c r="B83" s="3">
        <v>45689</v>
      </c>
      <c r="C83" s="1" t="s">
        <v>27</v>
      </c>
      <c r="D83" s="1" t="s">
        <v>28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</row>
    <row r="84" spans="1:14">
      <c r="A84" s="1" t="s">
        <v>42</v>
      </c>
      <c r="B84" s="3">
        <v>45717</v>
      </c>
      <c r="C84" s="1" t="s">
        <v>27</v>
      </c>
      <c r="D84" s="1" t="s">
        <v>28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</row>
    <row r="85" spans="1:14">
      <c r="A85" s="1" t="s">
        <v>42</v>
      </c>
      <c r="B85" s="3">
        <v>45748</v>
      </c>
      <c r="C85" s="1" t="s">
        <v>27</v>
      </c>
      <c r="D85" s="1" t="s">
        <v>28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</row>
    <row r="86" spans="1:14">
      <c r="A86" s="1" t="s">
        <v>43</v>
      </c>
      <c r="B86" s="3">
        <v>45658</v>
      </c>
      <c r="C86" s="1" t="s">
        <v>27</v>
      </c>
      <c r="D86" s="1" t="s">
        <v>18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</row>
    <row r="87" spans="1:14">
      <c r="A87" s="1" t="s">
        <v>43</v>
      </c>
      <c r="B87" s="3">
        <v>45689</v>
      </c>
      <c r="C87" s="1" t="s">
        <v>27</v>
      </c>
      <c r="D87" s="1" t="s">
        <v>18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>
        <v>3.92</v>
      </c>
      <c r="M87" s="1">
        <v>611766.72</v>
      </c>
      <c r="N87" s="1">
        <v>88275.61</v>
      </c>
    </row>
    <row r="88" spans="1:14">
      <c r="A88" s="1" t="s">
        <v>43</v>
      </c>
      <c r="B88" s="3">
        <v>45717</v>
      </c>
      <c r="C88" s="1" t="s">
        <v>27</v>
      </c>
      <c r="D88" s="1" t="s">
        <v>18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</row>
    <row r="89" spans="1:14">
      <c r="A89" s="1" t="s">
        <v>43</v>
      </c>
      <c r="B89" s="3">
        <v>45748</v>
      </c>
      <c r="C89" s="1" t="s">
        <v>27</v>
      </c>
      <c r="D89" s="1" t="s">
        <v>18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</row>
    <row r="90" spans="1:14">
      <c r="A90" s="1" t="s">
        <v>44</v>
      </c>
      <c r="B90" s="3">
        <v>45658</v>
      </c>
      <c r="C90" s="1" t="s">
        <v>24</v>
      </c>
      <c r="D90" s="1" t="s">
        <v>28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</row>
    <row r="91" spans="1:14">
      <c r="A91" s="1" t="s">
        <v>44</v>
      </c>
      <c r="B91" s="3">
        <v>45689</v>
      </c>
      <c r="C91" s="1" t="s">
        <v>24</v>
      </c>
      <c r="D91" s="1" t="s">
        <v>28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</row>
    <row r="92" spans="1:14">
      <c r="A92" s="1" t="s">
        <v>44</v>
      </c>
      <c r="B92" s="3">
        <v>45717</v>
      </c>
      <c r="C92" s="1" t="s">
        <v>24</v>
      </c>
      <c r="D92" s="1" t="s">
        <v>28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</row>
    <row r="93" spans="1:14">
      <c r="A93" s="1" t="s">
        <v>44</v>
      </c>
      <c r="B93" s="3">
        <v>45748</v>
      </c>
      <c r="C93" s="1" t="s">
        <v>24</v>
      </c>
      <c r="D93" s="1" t="s">
        <v>28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</row>
    <row r="94" spans="1:14">
      <c r="A94" s="1" t="s">
        <v>45</v>
      </c>
      <c r="B94" s="3">
        <v>45658</v>
      </c>
      <c r="C94" s="1" t="s">
        <v>27</v>
      </c>
      <c r="D94" s="1" t="s">
        <v>16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</row>
    <row r="95" spans="1:14">
      <c r="A95" s="1" t="s">
        <v>45</v>
      </c>
      <c r="B95" s="3">
        <v>45689</v>
      </c>
      <c r="C95" s="1" t="s">
        <v>27</v>
      </c>
      <c r="D95" s="1" t="s">
        <v>16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</row>
    <row r="96" spans="1:14">
      <c r="A96" s="1" t="s">
        <v>45</v>
      </c>
      <c r="B96" s="3">
        <v>45717</v>
      </c>
      <c r="C96" s="1" t="s">
        <v>27</v>
      </c>
      <c r="D96" s="1" t="s">
        <v>16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</row>
    <row r="97" spans="1:14">
      <c r="A97" s="1" t="s">
        <v>45</v>
      </c>
      <c r="B97" s="3">
        <v>45748</v>
      </c>
      <c r="C97" s="1" t="s">
        <v>27</v>
      </c>
      <c r="D97" s="1" t="s">
        <v>16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</row>
    <row r="98" spans="1:14">
      <c r="A98" s="1" t="s">
        <v>46</v>
      </c>
      <c r="B98" s="3">
        <v>45658</v>
      </c>
      <c r="C98" s="1" t="s">
        <v>27</v>
      </c>
      <c r="D98" s="1" t="s">
        <v>28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</row>
    <row r="99" spans="1:14">
      <c r="A99" s="1" t="s">
        <v>46</v>
      </c>
      <c r="B99" s="3">
        <v>45689</v>
      </c>
      <c r="C99" s="1" t="s">
        <v>27</v>
      </c>
      <c r="D99" s="1" t="s">
        <v>28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</row>
    <row r="100" spans="1:14">
      <c r="A100" s="1" t="s">
        <v>46</v>
      </c>
      <c r="B100" s="3">
        <v>45717</v>
      </c>
      <c r="C100" s="1" t="s">
        <v>27</v>
      </c>
      <c r="D100" s="1" t="s">
        <v>28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>
        <v>4.5590450000000002</v>
      </c>
      <c r="K100" s="1">
        <v>0</v>
      </c>
      <c r="L100" s="1">
        <v>4.3</v>
      </c>
      <c r="M100" s="1">
        <v>605775.32999999996</v>
      </c>
      <c r="N100" s="1">
        <v>107194.6</v>
      </c>
    </row>
    <row r="101" spans="1:14">
      <c r="A101" s="1" t="s">
        <v>46</v>
      </c>
      <c r="B101" s="3">
        <v>45748</v>
      </c>
      <c r="C101" s="1" t="s">
        <v>27</v>
      </c>
      <c r="D101" s="1" t="s">
        <v>28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</row>
    <row r="102" spans="1:14">
      <c r="A102" s="1" t="s">
        <v>47</v>
      </c>
      <c r="B102" s="3">
        <v>45658</v>
      </c>
      <c r="C102" s="1" t="s">
        <v>15</v>
      </c>
      <c r="D102" s="1" t="s">
        <v>28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</row>
    <row r="103" spans="1:14">
      <c r="A103" s="1" t="s">
        <v>47</v>
      </c>
      <c r="B103" s="3">
        <v>45689</v>
      </c>
      <c r="C103" s="1" t="s">
        <v>15</v>
      </c>
      <c r="D103" s="1" t="s">
        <v>28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</row>
    <row r="104" spans="1:14">
      <c r="A104" s="1" t="s">
        <v>47</v>
      </c>
      <c r="B104" s="3">
        <v>45717</v>
      </c>
      <c r="C104" s="1" t="s">
        <v>15</v>
      </c>
      <c r="D104" s="1" t="s">
        <v>28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</row>
    <row r="105" spans="1:14">
      <c r="A105" s="1" t="s">
        <v>47</v>
      </c>
      <c r="B105" s="3">
        <v>45748</v>
      </c>
      <c r="C105" s="1" t="s">
        <v>15</v>
      </c>
      <c r="D105" s="1" t="s">
        <v>28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</row>
    <row r="106" spans="1:14">
      <c r="A106" s="1" t="s">
        <v>48</v>
      </c>
      <c r="B106" s="3">
        <v>45658</v>
      </c>
      <c r="C106" s="1" t="s">
        <v>27</v>
      </c>
      <c r="D106" s="1" t="s">
        <v>18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</row>
    <row r="107" spans="1:14">
      <c r="A107" s="1" t="s">
        <v>48</v>
      </c>
      <c r="B107" s="3">
        <v>45689</v>
      </c>
      <c r="C107" s="1" t="s">
        <v>27</v>
      </c>
      <c r="D107" s="1" t="s">
        <v>18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</row>
    <row r="108" spans="1:14">
      <c r="A108" s="1" t="s">
        <v>48</v>
      </c>
      <c r="B108" s="3">
        <v>45717</v>
      </c>
      <c r="C108" s="1" t="s">
        <v>27</v>
      </c>
      <c r="D108" s="1" t="s">
        <v>18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</row>
    <row r="109" spans="1:14">
      <c r="A109" s="1" t="s">
        <v>48</v>
      </c>
      <c r="B109" s="3">
        <v>45748</v>
      </c>
      <c r="C109" s="1" t="s">
        <v>27</v>
      </c>
      <c r="D109" s="1" t="s">
        <v>18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</row>
    <row r="110" spans="1:14">
      <c r="A110" s="1" t="s">
        <v>49</v>
      </c>
      <c r="B110" s="3">
        <v>45658</v>
      </c>
      <c r="C110" s="1" t="s">
        <v>15</v>
      </c>
      <c r="D110" s="1" t="s">
        <v>28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</row>
    <row r="111" spans="1:14">
      <c r="A111" s="1" t="s">
        <v>49</v>
      </c>
      <c r="B111" s="3">
        <v>45689</v>
      </c>
      <c r="C111" s="1" t="s">
        <v>15</v>
      </c>
      <c r="D111" s="1" t="s">
        <v>28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</row>
    <row r="112" spans="1:14">
      <c r="A112" s="1" t="s">
        <v>49</v>
      </c>
      <c r="B112" s="3">
        <v>45717</v>
      </c>
      <c r="C112" s="1" t="s">
        <v>15</v>
      </c>
      <c r="D112" s="1" t="s">
        <v>28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</row>
    <row r="113" spans="1:14">
      <c r="A113" s="1" t="s">
        <v>49</v>
      </c>
      <c r="B113" s="3">
        <v>45748</v>
      </c>
      <c r="C113" s="1" t="s">
        <v>15</v>
      </c>
      <c r="D113" s="1" t="s">
        <v>28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</row>
    <row r="114" spans="1:14">
      <c r="A114" s="1" t="s">
        <v>50</v>
      </c>
      <c r="B114" s="3">
        <v>45658</v>
      </c>
      <c r="C114" s="1" t="s">
        <v>27</v>
      </c>
      <c r="D114" s="1" t="s">
        <v>28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</row>
    <row r="115" spans="1:14">
      <c r="A115" s="1" t="s">
        <v>50</v>
      </c>
      <c r="B115" s="3">
        <v>45689</v>
      </c>
      <c r="C115" s="1" t="s">
        <v>27</v>
      </c>
      <c r="D115" s="1" t="s">
        <v>28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</row>
    <row r="116" spans="1:14">
      <c r="A116" s="1" t="s">
        <v>50</v>
      </c>
      <c r="B116" s="3">
        <v>45717</v>
      </c>
      <c r="C116" s="1" t="s">
        <v>27</v>
      </c>
      <c r="D116" s="1" t="s">
        <v>28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</row>
    <row r="117" spans="1:14">
      <c r="A117" s="1" t="s">
        <v>50</v>
      </c>
      <c r="B117" s="3">
        <v>45748</v>
      </c>
      <c r="C117" s="1" t="s">
        <v>27</v>
      </c>
      <c r="D117" s="1" t="s">
        <v>28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</row>
    <row r="118" spans="1:14">
      <c r="A118" s="1" t="s">
        <v>51</v>
      </c>
      <c r="B118" s="3">
        <v>45658</v>
      </c>
      <c r="C118" s="1" t="s">
        <v>27</v>
      </c>
      <c r="D118" s="1" t="s">
        <v>16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</row>
    <row r="119" spans="1:14">
      <c r="A119" s="1" t="s">
        <v>51</v>
      </c>
      <c r="B119" s="3">
        <v>45689</v>
      </c>
      <c r="C119" s="1" t="s">
        <v>27</v>
      </c>
      <c r="D119" s="1" t="s">
        <v>16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</row>
    <row r="120" spans="1:14">
      <c r="A120" s="1" t="s">
        <v>51</v>
      </c>
      <c r="B120" s="3">
        <v>45717</v>
      </c>
      <c r="C120" s="1" t="s">
        <v>27</v>
      </c>
      <c r="D120" s="1" t="s">
        <v>16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</row>
    <row r="121" spans="1:14">
      <c r="A121" s="1" t="s">
        <v>51</v>
      </c>
      <c r="B121" s="3">
        <v>45748</v>
      </c>
      <c r="C121" s="1" t="s">
        <v>27</v>
      </c>
      <c r="D121" s="1" t="s">
        <v>16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</row>
    <row r="122" spans="1:14">
      <c r="A122" s="1" t="s">
        <v>52</v>
      </c>
      <c r="B122" s="3">
        <v>45658</v>
      </c>
      <c r="C122" s="1" t="s">
        <v>20</v>
      </c>
      <c r="D122" s="1" t="s">
        <v>18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</row>
    <row r="123" spans="1:14">
      <c r="A123" s="1" t="s">
        <v>52</v>
      </c>
      <c r="B123" s="3">
        <v>45689</v>
      </c>
      <c r="C123" s="1" t="s">
        <v>20</v>
      </c>
      <c r="D123" s="1" t="s">
        <v>18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</row>
    <row r="124" spans="1:14">
      <c r="A124" s="1" t="s">
        <v>52</v>
      </c>
      <c r="B124" s="3">
        <v>45717</v>
      </c>
      <c r="C124" s="1" t="s">
        <v>20</v>
      </c>
      <c r="D124" s="1" t="s">
        <v>18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</row>
    <row r="125" spans="1:14">
      <c r="A125" s="1" t="s">
        <v>52</v>
      </c>
      <c r="B125" s="3">
        <v>45748</v>
      </c>
      <c r="C125" s="1" t="s">
        <v>20</v>
      </c>
      <c r="D125" s="1" t="s">
        <v>18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</row>
    <row r="126" spans="1:14">
      <c r="A126" s="1" t="s">
        <v>53</v>
      </c>
      <c r="B126" s="3">
        <v>45658</v>
      </c>
      <c r="C126" s="1" t="s">
        <v>24</v>
      </c>
      <c r="D126" s="1" t="s">
        <v>18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</row>
    <row r="127" spans="1:14">
      <c r="A127" s="1" t="s">
        <v>53</v>
      </c>
      <c r="B127" s="3">
        <v>45689</v>
      </c>
      <c r="C127" s="1" t="s">
        <v>24</v>
      </c>
      <c r="D127" s="1" t="s">
        <v>18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</row>
    <row r="128" spans="1:14">
      <c r="A128" s="1" t="s">
        <v>53</v>
      </c>
      <c r="B128" s="3">
        <v>45717</v>
      </c>
      <c r="C128" s="1" t="s">
        <v>24</v>
      </c>
      <c r="D128" s="1" t="s">
        <v>18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</row>
    <row r="129" spans="1:14">
      <c r="A129" s="1" t="s">
        <v>53</v>
      </c>
      <c r="B129" s="3">
        <v>45748</v>
      </c>
      <c r="C129" s="1" t="s">
        <v>24</v>
      </c>
      <c r="D129" s="1" t="s">
        <v>18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</row>
    <row r="130" spans="1:14">
      <c r="A130" s="1" t="s">
        <v>54</v>
      </c>
      <c r="B130" s="3">
        <v>45658</v>
      </c>
      <c r="C130" s="1" t="s">
        <v>15</v>
      </c>
      <c r="D130" s="1" t="s">
        <v>18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</row>
    <row r="131" spans="1:14">
      <c r="A131" s="1" t="s">
        <v>54</v>
      </c>
      <c r="B131" s="3">
        <v>45689</v>
      </c>
      <c r="C131" s="1" t="s">
        <v>15</v>
      </c>
      <c r="D131" s="1" t="s">
        <v>18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</row>
    <row r="132" spans="1:14">
      <c r="A132" s="1" t="s">
        <v>54</v>
      </c>
      <c r="B132" s="3">
        <v>45717</v>
      </c>
      <c r="C132" s="1" t="s">
        <v>15</v>
      </c>
      <c r="D132" s="1" t="s">
        <v>18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</row>
    <row r="133" spans="1:14">
      <c r="A133" s="1" t="s">
        <v>54</v>
      </c>
      <c r="B133" s="3">
        <v>45748</v>
      </c>
      <c r="C133" s="1" t="s">
        <v>15</v>
      </c>
      <c r="D133" s="1" t="s">
        <v>18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</row>
    <row r="134" spans="1:14">
      <c r="A134" s="1" t="s">
        <v>55</v>
      </c>
      <c r="B134" s="3">
        <v>45658</v>
      </c>
      <c r="C134" s="1" t="s">
        <v>20</v>
      </c>
      <c r="D134" s="1" t="s">
        <v>18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</row>
    <row r="135" spans="1:14">
      <c r="A135" s="1" t="s">
        <v>55</v>
      </c>
      <c r="B135" s="3">
        <v>45689</v>
      </c>
      <c r="C135" s="1" t="s">
        <v>20</v>
      </c>
      <c r="D135" s="1" t="s">
        <v>18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>
        <v>3.92</v>
      </c>
      <c r="M135" s="1">
        <v>400831.65</v>
      </c>
      <c r="N135" s="1">
        <v>70979.31</v>
      </c>
    </row>
    <row r="136" spans="1:14">
      <c r="A136" s="1" t="s">
        <v>55</v>
      </c>
      <c r="B136" s="3">
        <v>45717</v>
      </c>
      <c r="C136" s="1" t="s">
        <v>20</v>
      </c>
      <c r="D136" s="1" t="s">
        <v>18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</row>
    <row r="137" spans="1:14">
      <c r="A137" s="1" t="s">
        <v>55</v>
      </c>
      <c r="B137" s="3">
        <v>45748</v>
      </c>
      <c r="C137" s="1" t="s">
        <v>20</v>
      </c>
      <c r="D137" s="1" t="s">
        <v>18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</row>
    <row r="138" spans="1:14">
      <c r="A138" s="1" t="s">
        <v>56</v>
      </c>
      <c r="B138" s="3">
        <v>45658</v>
      </c>
      <c r="C138" s="1" t="s">
        <v>24</v>
      </c>
      <c r="D138" s="1" t="s">
        <v>16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>
        <v>3.92</v>
      </c>
      <c r="M138" s="1">
        <v>633638.03</v>
      </c>
      <c r="N138" s="1">
        <v>99402.01</v>
      </c>
    </row>
    <row r="139" spans="1:14">
      <c r="A139" s="1" t="s">
        <v>56</v>
      </c>
      <c r="B139" s="3">
        <v>45689</v>
      </c>
      <c r="C139" s="1" t="s">
        <v>24</v>
      </c>
      <c r="D139" s="1" t="s">
        <v>16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</row>
    <row r="140" spans="1:14">
      <c r="A140" s="1" t="s">
        <v>56</v>
      </c>
      <c r="B140" s="3">
        <v>45717</v>
      </c>
      <c r="C140" s="1" t="s">
        <v>24</v>
      </c>
      <c r="D140" s="1" t="s">
        <v>16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</row>
    <row r="141" spans="1:14">
      <c r="A141" s="1" t="s">
        <v>56</v>
      </c>
      <c r="B141" s="3">
        <v>45748</v>
      </c>
      <c r="C141" s="1" t="s">
        <v>24</v>
      </c>
      <c r="D141" s="1" t="s">
        <v>16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</row>
    <row r="142" spans="1:14">
      <c r="A142" s="1" t="s">
        <v>57</v>
      </c>
      <c r="B142" s="3">
        <v>45658</v>
      </c>
      <c r="C142" s="1" t="s">
        <v>27</v>
      </c>
      <c r="D142" s="1" t="s">
        <v>18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</row>
    <row r="143" spans="1:14">
      <c r="A143" s="1" t="s">
        <v>57</v>
      </c>
      <c r="B143" s="3">
        <v>45689</v>
      </c>
      <c r="C143" s="1" t="s">
        <v>27</v>
      </c>
      <c r="D143" s="1" t="s">
        <v>18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</row>
    <row r="144" spans="1:14">
      <c r="A144" s="1" t="s">
        <v>57</v>
      </c>
      <c r="B144" s="3">
        <v>45717</v>
      </c>
      <c r="C144" s="1" t="s">
        <v>27</v>
      </c>
      <c r="D144" s="1" t="s">
        <v>18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</row>
    <row r="145" spans="1:14">
      <c r="A145" s="1" t="s">
        <v>57</v>
      </c>
      <c r="B145" s="3">
        <v>45748</v>
      </c>
      <c r="C145" s="1" t="s">
        <v>27</v>
      </c>
      <c r="D145" s="1" t="s">
        <v>18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</row>
    <row r="146" spans="1:14">
      <c r="A146" s="1" t="s">
        <v>58</v>
      </c>
      <c r="B146" s="3">
        <v>45658</v>
      </c>
      <c r="C146" s="1" t="s">
        <v>20</v>
      </c>
      <c r="D146" s="1" t="s">
        <v>16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</row>
    <row r="147" spans="1:14">
      <c r="A147" s="1" t="s">
        <v>58</v>
      </c>
      <c r="B147" s="3">
        <v>45689</v>
      </c>
      <c r="C147" s="1" t="s">
        <v>20</v>
      </c>
      <c r="D147" s="1" t="s">
        <v>16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</row>
    <row r="148" spans="1:14">
      <c r="A148" s="1" t="s">
        <v>58</v>
      </c>
      <c r="B148" s="3">
        <v>45717</v>
      </c>
      <c r="C148" s="1" t="s">
        <v>20</v>
      </c>
      <c r="D148" s="1" t="s">
        <v>16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</row>
    <row r="149" spans="1:14">
      <c r="A149" s="1" t="s">
        <v>58</v>
      </c>
      <c r="B149" s="3">
        <v>45748</v>
      </c>
      <c r="C149" s="1" t="s">
        <v>20</v>
      </c>
      <c r="D149" s="1" t="s">
        <v>16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</row>
    <row r="150" spans="1:14">
      <c r="A150" s="1" t="s">
        <v>59</v>
      </c>
      <c r="B150" s="3">
        <v>45658</v>
      </c>
      <c r="C150" s="1" t="s">
        <v>24</v>
      </c>
      <c r="D150" s="1" t="s">
        <v>28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</row>
    <row r="151" spans="1:14">
      <c r="A151" s="1" t="s">
        <v>59</v>
      </c>
      <c r="B151" s="3">
        <v>45689</v>
      </c>
      <c r="C151" s="1" t="s">
        <v>24</v>
      </c>
      <c r="D151" s="1" t="s">
        <v>28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</row>
    <row r="152" spans="1:14">
      <c r="A152" s="1" t="s">
        <v>59</v>
      </c>
      <c r="B152" s="3">
        <v>45717</v>
      </c>
      <c r="C152" s="1" t="s">
        <v>24</v>
      </c>
      <c r="D152" s="1" t="s">
        <v>28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</row>
    <row r="153" spans="1:14">
      <c r="A153" s="1" t="s">
        <v>59</v>
      </c>
      <c r="B153" s="3">
        <v>45748</v>
      </c>
      <c r="C153" s="1" t="s">
        <v>24</v>
      </c>
      <c r="D153" s="1" t="s">
        <v>28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</row>
    <row r="154" spans="1:14">
      <c r="A154" s="1" t="s">
        <v>60</v>
      </c>
      <c r="B154" s="3">
        <v>45658</v>
      </c>
      <c r="C154" s="1" t="s">
        <v>15</v>
      </c>
      <c r="D154" s="1" t="s">
        <v>18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</row>
    <row r="155" spans="1:14">
      <c r="A155" s="1" t="s">
        <v>60</v>
      </c>
      <c r="B155" s="3">
        <v>45689</v>
      </c>
      <c r="C155" s="1" t="s">
        <v>15</v>
      </c>
      <c r="D155" s="1" t="s">
        <v>18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</row>
    <row r="156" spans="1:14">
      <c r="A156" s="1" t="s">
        <v>60</v>
      </c>
      <c r="B156" s="3">
        <v>45717</v>
      </c>
      <c r="C156" s="1" t="s">
        <v>15</v>
      </c>
      <c r="D156" s="1" t="s">
        <v>18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</row>
    <row r="157" spans="1:14">
      <c r="A157" s="1" t="s">
        <v>60</v>
      </c>
      <c r="B157" s="3">
        <v>45748</v>
      </c>
      <c r="C157" s="1" t="s">
        <v>15</v>
      </c>
      <c r="D157" s="1" t="s">
        <v>18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</row>
    <row r="158" spans="1:14">
      <c r="A158" s="1" t="s">
        <v>61</v>
      </c>
      <c r="B158" s="3">
        <v>45658</v>
      </c>
      <c r="C158" s="1" t="s">
        <v>20</v>
      </c>
      <c r="D158" s="1" t="s">
        <v>28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</row>
    <row r="159" spans="1:14">
      <c r="A159" s="1" t="s">
        <v>61</v>
      </c>
      <c r="B159" s="3">
        <v>45689</v>
      </c>
      <c r="C159" s="1" t="s">
        <v>20</v>
      </c>
      <c r="D159" s="1" t="s">
        <v>28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</row>
    <row r="160" spans="1:14">
      <c r="A160" s="1" t="s">
        <v>61</v>
      </c>
      <c r="B160" s="3">
        <v>45717</v>
      </c>
      <c r="C160" s="1" t="s">
        <v>20</v>
      </c>
      <c r="D160" s="1" t="s">
        <v>28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</row>
    <row r="161" spans="1:14">
      <c r="A161" s="1" t="s">
        <v>61</v>
      </c>
      <c r="B161" s="3">
        <v>45748</v>
      </c>
      <c r="C161" s="1" t="s">
        <v>20</v>
      </c>
      <c r="D161" s="1" t="s">
        <v>28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</row>
    <row r="162" spans="1:14">
      <c r="A162" s="1" t="s">
        <v>62</v>
      </c>
      <c r="B162" s="3">
        <v>45658</v>
      </c>
      <c r="C162" s="1" t="s">
        <v>24</v>
      </c>
      <c r="D162" s="1" t="s">
        <v>18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</row>
    <row r="163" spans="1:14">
      <c r="A163" s="1" t="s">
        <v>62</v>
      </c>
      <c r="B163" s="3">
        <v>45689</v>
      </c>
      <c r="C163" s="1" t="s">
        <v>24</v>
      </c>
      <c r="D163" s="1" t="s">
        <v>18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</row>
    <row r="164" spans="1:14">
      <c r="A164" s="1" t="s">
        <v>62</v>
      </c>
      <c r="B164" s="3">
        <v>45717</v>
      </c>
      <c r="C164" s="1" t="s">
        <v>24</v>
      </c>
      <c r="D164" s="1" t="s">
        <v>18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>
        <v>4.5590450000000002</v>
      </c>
      <c r="K164" s="1">
        <v>0</v>
      </c>
      <c r="L164" s="1">
        <v>4.2</v>
      </c>
      <c r="M164" s="1">
        <v>677096.71</v>
      </c>
      <c r="N164" s="1">
        <v>97174.11</v>
      </c>
    </row>
    <row r="165" spans="1:14">
      <c r="A165" s="1" t="s">
        <v>62</v>
      </c>
      <c r="B165" s="3">
        <v>45748</v>
      </c>
      <c r="C165" s="1" t="s">
        <v>24</v>
      </c>
      <c r="D165" s="1" t="s">
        <v>18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</row>
    <row r="166" spans="1:14">
      <c r="A166" s="1" t="s">
        <v>63</v>
      </c>
      <c r="B166" s="3">
        <v>45658</v>
      </c>
      <c r="C166" s="1" t="s">
        <v>20</v>
      </c>
      <c r="D166" s="1" t="s">
        <v>28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</row>
    <row r="167" spans="1:14">
      <c r="A167" s="1" t="s">
        <v>63</v>
      </c>
      <c r="B167" s="3">
        <v>45689</v>
      </c>
      <c r="C167" s="1" t="s">
        <v>20</v>
      </c>
      <c r="D167" s="1" t="s">
        <v>28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</row>
    <row r="168" spans="1:14">
      <c r="A168" s="1" t="s">
        <v>63</v>
      </c>
      <c r="B168" s="3">
        <v>45717</v>
      </c>
      <c r="C168" s="1" t="s">
        <v>20</v>
      </c>
      <c r="D168" s="1" t="s">
        <v>28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</row>
    <row r="169" spans="1:14">
      <c r="A169" s="1" t="s">
        <v>63</v>
      </c>
      <c r="B169" s="3">
        <v>45748</v>
      </c>
      <c r="C169" s="1" t="s">
        <v>20</v>
      </c>
      <c r="D169" s="1" t="s">
        <v>28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</row>
    <row r="170" spans="1:14">
      <c r="A170" s="1" t="s">
        <v>64</v>
      </c>
      <c r="B170" s="3">
        <v>45658</v>
      </c>
      <c r="C170" s="1" t="s">
        <v>15</v>
      </c>
      <c r="D170" s="1" t="s">
        <v>16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</row>
    <row r="171" spans="1:14">
      <c r="A171" s="1" t="s">
        <v>64</v>
      </c>
      <c r="B171" s="3">
        <v>45689</v>
      </c>
      <c r="C171" s="1" t="s">
        <v>15</v>
      </c>
      <c r="D171" s="1" t="s">
        <v>16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</row>
    <row r="172" spans="1:14">
      <c r="A172" s="1" t="s">
        <v>64</v>
      </c>
      <c r="B172" s="3">
        <v>45717</v>
      </c>
      <c r="C172" s="1" t="s">
        <v>15</v>
      </c>
      <c r="D172" s="1" t="s">
        <v>16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</row>
    <row r="173" spans="1:14">
      <c r="A173" s="1" t="s">
        <v>64</v>
      </c>
      <c r="B173" s="3">
        <v>45748</v>
      </c>
      <c r="C173" s="1" t="s">
        <v>15</v>
      </c>
      <c r="D173" s="1" t="s">
        <v>16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</row>
    <row r="174" spans="1:14">
      <c r="A174" s="1" t="s">
        <v>65</v>
      </c>
      <c r="B174" s="3">
        <v>45658</v>
      </c>
      <c r="C174" s="1" t="s">
        <v>15</v>
      </c>
      <c r="D174" s="1" t="s">
        <v>16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</row>
    <row r="175" spans="1:14">
      <c r="A175" s="1" t="s">
        <v>65</v>
      </c>
      <c r="B175" s="3">
        <v>45689</v>
      </c>
      <c r="C175" s="1" t="s">
        <v>15</v>
      </c>
      <c r="D175" s="1" t="s">
        <v>16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</row>
    <row r="176" spans="1:14">
      <c r="A176" s="1" t="s">
        <v>65</v>
      </c>
      <c r="B176" s="3">
        <v>45717</v>
      </c>
      <c r="C176" s="1" t="s">
        <v>15</v>
      </c>
      <c r="D176" s="1" t="s">
        <v>16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</row>
    <row r="177" spans="1:14">
      <c r="A177" s="1" t="s">
        <v>65</v>
      </c>
      <c r="B177" s="3">
        <v>45748</v>
      </c>
      <c r="C177" s="1" t="s">
        <v>15</v>
      </c>
      <c r="D177" s="1" t="s">
        <v>16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</row>
    <row r="178" spans="1:14">
      <c r="A178" s="1" t="s">
        <v>66</v>
      </c>
      <c r="B178" s="3">
        <v>45658</v>
      </c>
      <c r="C178" s="1" t="s">
        <v>27</v>
      </c>
      <c r="D178" s="1" t="s">
        <v>21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</row>
    <row r="179" spans="1:14">
      <c r="A179" s="1" t="s">
        <v>66</v>
      </c>
      <c r="B179" s="3">
        <v>45689</v>
      </c>
      <c r="C179" s="1" t="s">
        <v>27</v>
      </c>
      <c r="D179" s="1" t="s">
        <v>21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</row>
    <row r="180" spans="1:14">
      <c r="A180" s="1" t="s">
        <v>66</v>
      </c>
      <c r="B180" s="3">
        <v>45717</v>
      </c>
      <c r="C180" s="1" t="s">
        <v>27</v>
      </c>
      <c r="D180" s="1" t="s">
        <v>21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</row>
    <row r="181" spans="1:14">
      <c r="A181" s="1" t="s">
        <v>66</v>
      </c>
      <c r="B181" s="3">
        <v>45748</v>
      </c>
      <c r="C181" s="1" t="s">
        <v>27</v>
      </c>
      <c r="D181" s="1" t="s">
        <v>21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</row>
    <row r="182" spans="1:14">
      <c r="A182" s="1" t="s">
        <v>67</v>
      </c>
      <c r="B182" s="3">
        <v>45658</v>
      </c>
      <c r="C182" s="1" t="s">
        <v>27</v>
      </c>
      <c r="D182" s="1" t="s">
        <v>16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</row>
    <row r="183" spans="1:14">
      <c r="A183" s="1" t="s">
        <v>67</v>
      </c>
      <c r="B183" s="3">
        <v>45689</v>
      </c>
      <c r="C183" s="1" t="s">
        <v>27</v>
      </c>
      <c r="D183" s="1" t="s">
        <v>16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</row>
    <row r="184" spans="1:14">
      <c r="A184" s="1" t="s">
        <v>67</v>
      </c>
      <c r="B184" s="3">
        <v>45717</v>
      </c>
      <c r="C184" s="1" t="s">
        <v>27</v>
      </c>
      <c r="D184" s="1" t="s">
        <v>16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</row>
    <row r="185" spans="1:14">
      <c r="A185" s="1" t="s">
        <v>67</v>
      </c>
      <c r="B185" s="3">
        <v>45748</v>
      </c>
      <c r="C185" s="1" t="s">
        <v>27</v>
      </c>
      <c r="D185" s="1" t="s">
        <v>16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</row>
    <row r="186" spans="1:14">
      <c r="A186" s="1" t="s">
        <v>68</v>
      </c>
      <c r="B186" s="3">
        <v>45658</v>
      </c>
      <c r="C186" s="1" t="s">
        <v>20</v>
      </c>
      <c r="D186" s="1" t="s">
        <v>18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</row>
    <row r="187" spans="1:14">
      <c r="A187" s="1" t="s">
        <v>68</v>
      </c>
      <c r="B187" s="3">
        <v>45689</v>
      </c>
      <c r="C187" s="1" t="s">
        <v>20</v>
      </c>
      <c r="D187" s="1" t="s">
        <v>18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</row>
    <row r="188" spans="1:14">
      <c r="A188" s="1" t="s">
        <v>68</v>
      </c>
      <c r="B188" s="3">
        <v>45717</v>
      </c>
      <c r="C188" s="1" t="s">
        <v>20</v>
      </c>
      <c r="D188" s="1" t="s">
        <v>18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</row>
    <row r="189" spans="1:14">
      <c r="A189" s="1" t="s">
        <v>68</v>
      </c>
      <c r="B189" s="3">
        <v>45748</v>
      </c>
      <c r="C189" s="1" t="s">
        <v>20</v>
      </c>
      <c r="D189" s="1" t="s">
        <v>18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</row>
    <row r="190" spans="1:14">
      <c r="A190" s="1" t="s">
        <v>69</v>
      </c>
      <c r="B190" s="3">
        <v>45658</v>
      </c>
      <c r="C190" s="1" t="s">
        <v>15</v>
      </c>
      <c r="D190" s="1" t="s">
        <v>18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</row>
    <row r="191" spans="1:14">
      <c r="A191" s="1" t="s">
        <v>69</v>
      </c>
      <c r="B191" s="3">
        <v>45689</v>
      </c>
      <c r="C191" s="1" t="s">
        <v>15</v>
      </c>
      <c r="D191" s="1" t="s">
        <v>18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</row>
    <row r="192" spans="1:14">
      <c r="A192" s="1" t="s">
        <v>69</v>
      </c>
      <c r="B192" s="3">
        <v>45717</v>
      </c>
      <c r="C192" s="1" t="s">
        <v>15</v>
      </c>
      <c r="D192" s="1" t="s">
        <v>18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</row>
    <row r="193" spans="1:14">
      <c r="A193" s="1" t="s">
        <v>69</v>
      </c>
      <c r="B193" s="3">
        <v>45748</v>
      </c>
      <c r="C193" s="1" t="s">
        <v>15</v>
      </c>
      <c r="D193" s="1" t="s">
        <v>18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</row>
    <row r="194" spans="1:14">
      <c r="A194" s="1" t="s">
        <v>70</v>
      </c>
      <c r="B194" s="3">
        <v>45658</v>
      </c>
      <c r="C194" s="1" t="s">
        <v>27</v>
      </c>
      <c r="D194" s="1" t="s">
        <v>16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</row>
    <row r="195" spans="1:14">
      <c r="A195" s="1" t="s">
        <v>70</v>
      </c>
      <c r="B195" s="3">
        <v>45689</v>
      </c>
      <c r="C195" s="1" t="s">
        <v>27</v>
      </c>
      <c r="D195" s="1" t="s">
        <v>16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</row>
    <row r="196" spans="1:14">
      <c r="A196" s="1" t="s">
        <v>70</v>
      </c>
      <c r="B196" s="3">
        <v>45717</v>
      </c>
      <c r="C196" s="1" t="s">
        <v>27</v>
      </c>
      <c r="D196" s="1" t="s">
        <v>16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</row>
    <row r="197" spans="1:14">
      <c r="A197" s="1" t="s">
        <v>70</v>
      </c>
      <c r="B197" s="3">
        <v>45748</v>
      </c>
      <c r="C197" s="1" t="s">
        <v>27</v>
      </c>
      <c r="D197" s="1" t="s">
        <v>16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>
        <v>3.92</v>
      </c>
      <c r="M197" s="1">
        <v>449465.06</v>
      </c>
      <c r="N197" s="1">
        <v>65694.78</v>
      </c>
    </row>
    <row r="198" spans="1:14">
      <c r="A198" s="1" t="s">
        <v>71</v>
      </c>
      <c r="B198" s="3">
        <v>45658</v>
      </c>
      <c r="C198" s="1" t="s">
        <v>20</v>
      </c>
      <c r="D198" s="1" t="s">
        <v>16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</row>
    <row r="199" spans="1:14">
      <c r="A199" s="1" t="s">
        <v>71</v>
      </c>
      <c r="B199" s="3">
        <v>45689</v>
      </c>
      <c r="C199" s="1" t="s">
        <v>20</v>
      </c>
      <c r="D199" s="1" t="s">
        <v>16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</row>
    <row r="200" spans="1:14">
      <c r="A200" s="1" t="s">
        <v>71</v>
      </c>
      <c r="B200" s="3">
        <v>45717</v>
      </c>
      <c r="C200" s="1" t="s">
        <v>20</v>
      </c>
      <c r="D200" s="1" t="s">
        <v>16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</row>
    <row r="201" spans="1:14">
      <c r="A201" s="1" t="s">
        <v>71</v>
      </c>
      <c r="B201" s="3">
        <v>45748</v>
      </c>
      <c r="C201" s="1" t="s">
        <v>20</v>
      </c>
      <c r="D201" s="1" t="s">
        <v>16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</row>
    <row r="202" spans="1:14">
      <c r="A202" s="1" t="s">
        <v>72</v>
      </c>
      <c r="B202" s="3">
        <v>45658</v>
      </c>
      <c r="C202" s="1" t="s">
        <v>15</v>
      </c>
      <c r="D202" s="1" t="s">
        <v>21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</row>
    <row r="203" spans="1:14">
      <c r="A203" s="1" t="s">
        <v>72</v>
      </c>
      <c r="B203" s="3">
        <v>45689</v>
      </c>
      <c r="C203" s="1" t="s">
        <v>15</v>
      </c>
      <c r="D203" s="1" t="s">
        <v>21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</row>
    <row r="204" spans="1:14">
      <c r="A204" s="1" t="s">
        <v>72</v>
      </c>
      <c r="B204" s="3">
        <v>45717</v>
      </c>
      <c r="C204" s="1" t="s">
        <v>15</v>
      </c>
      <c r="D204" s="1" t="s">
        <v>21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</row>
    <row r="205" spans="1:14">
      <c r="A205" s="1" t="s">
        <v>72</v>
      </c>
      <c r="B205" s="3">
        <v>45748</v>
      </c>
      <c r="C205" s="1" t="s">
        <v>15</v>
      </c>
      <c r="D205" s="1" t="s">
        <v>21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</row>
    <row r="206" spans="1:14">
      <c r="A206" s="1" t="s">
        <v>73</v>
      </c>
      <c r="B206" s="3">
        <v>45658</v>
      </c>
      <c r="C206" s="1" t="s">
        <v>15</v>
      </c>
      <c r="D206" s="1" t="s">
        <v>28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</row>
    <row r="207" spans="1:14">
      <c r="A207" s="1" t="s">
        <v>73</v>
      </c>
      <c r="B207" s="3">
        <v>45689</v>
      </c>
      <c r="C207" s="1" t="s">
        <v>15</v>
      </c>
      <c r="D207" s="1" t="s">
        <v>28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</row>
    <row r="208" spans="1:14">
      <c r="A208" s="1" t="s">
        <v>73</v>
      </c>
      <c r="B208" s="3">
        <v>45717</v>
      </c>
      <c r="C208" s="1" t="s">
        <v>15</v>
      </c>
      <c r="D208" s="1" t="s">
        <v>28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</row>
    <row r="209" spans="1:14">
      <c r="A209" s="1" t="s">
        <v>73</v>
      </c>
      <c r="B209" s="3">
        <v>45748</v>
      </c>
      <c r="C209" s="1" t="s">
        <v>15</v>
      </c>
      <c r="D209" s="1" t="s">
        <v>28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</row>
    <row r="210" spans="1:14">
      <c r="A210" s="1" t="s">
        <v>74</v>
      </c>
      <c r="B210" s="3">
        <v>45658</v>
      </c>
      <c r="C210" s="1" t="s">
        <v>15</v>
      </c>
      <c r="D210" s="1" t="s">
        <v>18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</row>
    <row r="211" spans="1:14">
      <c r="A211" s="1" t="s">
        <v>74</v>
      </c>
      <c r="B211" s="3">
        <v>45689</v>
      </c>
      <c r="C211" s="1" t="s">
        <v>15</v>
      </c>
      <c r="D211" s="1" t="s">
        <v>18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</row>
    <row r="212" spans="1:14">
      <c r="A212" s="1" t="s">
        <v>74</v>
      </c>
      <c r="B212" s="3">
        <v>45717</v>
      </c>
      <c r="C212" s="1" t="s">
        <v>15</v>
      </c>
      <c r="D212" s="1" t="s">
        <v>18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</row>
    <row r="213" spans="1:14">
      <c r="A213" s="1" t="s">
        <v>74</v>
      </c>
      <c r="B213" s="3">
        <v>45748</v>
      </c>
      <c r="C213" s="1" t="s">
        <v>15</v>
      </c>
      <c r="D213" s="1" t="s">
        <v>18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</row>
    <row r="214" spans="1:14">
      <c r="A214" s="1" t="s">
        <v>75</v>
      </c>
      <c r="B214" s="3">
        <v>45658</v>
      </c>
      <c r="C214" s="1" t="s">
        <v>27</v>
      </c>
      <c r="D214" s="1" t="s">
        <v>16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</row>
    <row r="215" spans="1:14">
      <c r="A215" s="1" t="s">
        <v>75</v>
      </c>
      <c r="B215" s="3">
        <v>45689</v>
      </c>
      <c r="C215" s="1" t="s">
        <v>27</v>
      </c>
      <c r="D215" s="1" t="s">
        <v>16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</row>
    <row r="216" spans="1:14">
      <c r="A216" s="1" t="s">
        <v>75</v>
      </c>
      <c r="B216" s="3">
        <v>45717</v>
      </c>
      <c r="C216" s="1" t="s">
        <v>27</v>
      </c>
      <c r="D216" s="1" t="s">
        <v>16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</row>
    <row r="217" spans="1:14">
      <c r="A217" s="1" t="s">
        <v>75</v>
      </c>
      <c r="B217" s="3">
        <v>45748</v>
      </c>
      <c r="C217" s="1" t="s">
        <v>27</v>
      </c>
      <c r="D217" s="1" t="s">
        <v>16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</row>
    <row r="218" spans="1:14">
      <c r="A218" s="1" t="s">
        <v>76</v>
      </c>
      <c r="B218" s="3">
        <v>45658</v>
      </c>
      <c r="C218" s="1" t="s">
        <v>20</v>
      </c>
      <c r="D218" s="1" t="s">
        <v>21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</row>
    <row r="219" spans="1:14">
      <c r="A219" s="1" t="s">
        <v>76</v>
      </c>
      <c r="B219" s="3">
        <v>45689</v>
      </c>
      <c r="C219" s="1" t="s">
        <v>20</v>
      </c>
      <c r="D219" s="1" t="s">
        <v>21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</row>
    <row r="220" spans="1:14">
      <c r="A220" s="1" t="s">
        <v>76</v>
      </c>
      <c r="B220" s="3">
        <v>45717</v>
      </c>
      <c r="C220" s="1" t="s">
        <v>20</v>
      </c>
      <c r="D220" s="1" t="s">
        <v>21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</row>
    <row r="221" spans="1:14">
      <c r="A221" s="1" t="s">
        <v>76</v>
      </c>
      <c r="B221" s="3">
        <v>45748</v>
      </c>
      <c r="C221" s="1" t="s">
        <v>20</v>
      </c>
      <c r="D221" s="1" t="s">
        <v>21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</row>
    <row r="222" spans="1:14">
      <c r="A222" s="1" t="s">
        <v>77</v>
      </c>
      <c r="B222" s="3">
        <v>45658</v>
      </c>
      <c r="C222" s="1" t="s">
        <v>15</v>
      </c>
      <c r="D222" s="1" t="s">
        <v>18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</row>
    <row r="223" spans="1:14">
      <c r="A223" s="1" t="s">
        <v>77</v>
      </c>
      <c r="B223" s="3">
        <v>45689</v>
      </c>
      <c r="C223" s="1" t="s">
        <v>15</v>
      </c>
      <c r="D223" s="1" t="s">
        <v>18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</row>
    <row r="224" spans="1:14">
      <c r="A224" s="1" t="s">
        <v>77</v>
      </c>
      <c r="B224" s="3">
        <v>45717</v>
      </c>
      <c r="C224" s="1" t="s">
        <v>15</v>
      </c>
      <c r="D224" s="1" t="s">
        <v>18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</row>
    <row r="225" spans="1:14">
      <c r="A225" s="1" t="s">
        <v>77</v>
      </c>
      <c r="B225" s="3">
        <v>45748</v>
      </c>
      <c r="C225" s="1" t="s">
        <v>15</v>
      </c>
      <c r="D225" s="1" t="s">
        <v>18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</row>
    <row r="226" spans="1:14">
      <c r="A226" s="1" t="s">
        <v>78</v>
      </c>
      <c r="B226" s="3">
        <v>45658</v>
      </c>
      <c r="C226" s="1" t="s">
        <v>15</v>
      </c>
      <c r="D226" s="1" t="s">
        <v>28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</row>
    <row r="227" spans="1:14">
      <c r="A227" s="1" t="s">
        <v>78</v>
      </c>
      <c r="B227" s="3">
        <v>45689</v>
      </c>
      <c r="C227" s="1" t="s">
        <v>15</v>
      </c>
      <c r="D227" s="1" t="s">
        <v>28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</row>
    <row r="228" spans="1:14">
      <c r="A228" s="1" t="s">
        <v>78</v>
      </c>
      <c r="B228" s="3">
        <v>45717</v>
      </c>
      <c r="C228" s="1" t="s">
        <v>15</v>
      </c>
      <c r="D228" s="1" t="s">
        <v>28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</row>
    <row r="229" spans="1:14">
      <c r="A229" s="1" t="s">
        <v>78</v>
      </c>
      <c r="B229" s="3">
        <v>45748</v>
      </c>
      <c r="C229" s="1" t="s">
        <v>15</v>
      </c>
      <c r="D229" s="1" t="s">
        <v>28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>
        <v>3.92</v>
      </c>
      <c r="M229" s="1">
        <v>529598.93999999994</v>
      </c>
      <c r="N229" s="1">
        <v>84334.33</v>
      </c>
    </row>
    <row r="230" spans="1:14">
      <c r="A230" s="1" t="s">
        <v>79</v>
      </c>
      <c r="B230" s="3">
        <v>45658</v>
      </c>
      <c r="C230" s="1" t="s">
        <v>15</v>
      </c>
      <c r="D230" s="1" t="s">
        <v>18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</row>
    <row r="231" spans="1:14">
      <c r="A231" s="1" t="s">
        <v>79</v>
      </c>
      <c r="B231" s="3">
        <v>45689</v>
      </c>
      <c r="C231" s="1" t="s">
        <v>15</v>
      </c>
      <c r="D231" s="1" t="s">
        <v>18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</row>
    <row r="232" spans="1:14">
      <c r="A232" s="1" t="s">
        <v>79</v>
      </c>
      <c r="B232" s="3">
        <v>45717</v>
      </c>
      <c r="C232" s="1" t="s">
        <v>15</v>
      </c>
      <c r="D232" s="1" t="s">
        <v>18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</row>
    <row r="233" spans="1:14">
      <c r="A233" s="1" t="s">
        <v>79</v>
      </c>
      <c r="B233" s="3">
        <v>45748</v>
      </c>
      <c r="C233" s="1" t="s">
        <v>15</v>
      </c>
      <c r="D233" s="1" t="s">
        <v>18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>
        <v>4.5590450000000002</v>
      </c>
      <c r="K233" s="1">
        <v>0</v>
      </c>
      <c r="L233" s="1">
        <v>3.7</v>
      </c>
      <c r="M233" s="1">
        <v>647512.85</v>
      </c>
      <c r="N233" s="1">
        <v>153835.57</v>
      </c>
    </row>
    <row r="234" spans="1:14">
      <c r="A234" s="1" t="s">
        <v>80</v>
      </c>
      <c r="B234" s="3">
        <v>45658</v>
      </c>
      <c r="C234" s="1" t="s">
        <v>27</v>
      </c>
      <c r="D234" s="1" t="s">
        <v>16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</row>
    <row r="235" spans="1:14">
      <c r="A235" s="1" t="s">
        <v>80</v>
      </c>
      <c r="B235" s="3">
        <v>45689</v>
      </c>
      <c r="C235" s="1" t="s">
        <v>27</v>
      </c>
      <c r="D235" s="1" t="s">
        <v>16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</row>
    <row r="236" spans="1:14">
      <c r="A236" s="1" t="s">
        <v>80</v>
      </c>
      <c r="B236" s="3">
        <v>45717</v>
      </c>
      <c r="C236" s="1" t="s">
        <v>27</v>
      </c>
      <c r="D236" s="1" t="s">
        <v>16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</row>
    <row r="237" spans="1:14">
      <c r="A237" s="1" t="s">
        <v>80</v>
      </c>
      <c r="B237" s="3">
        <v>45748</v>
      </c>
      <c r="C237" s="1" t="s">
        <v>27</v>
      </c>
      <c r="D237" s="1" t="s">
        <v>16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</row>
    <row r="238" spans="1:14">
      <c r="A238" s="1" t="s">
        <v>81</v>
      </c>
      <c r="B238" s="3">
        <v>45658</v>
      </c>
      <c r="C238" s="1" t="s">
        <v>27</v>
      </c>
      <c r="D238" s="1" t="s">
        <v>28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</row>
    <row r="239" spans="1:14">
      <c r="A239" s="1" t="s">
        <v>81</v>
      </c>
      <c r="B239" s="3">
        <v>45689</v>
      </c>
      <c r="C239" s="1" t="s">
        <v>27</v>
      </c>
      <c r="D239" s="1" t="s">
        <v>28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</row>
    <row r="240" spans="1:14">
      <c r="A240" s="1" t="s">
        <v>81</v>
      </c>
      <c r="B240" s="3">
        <v>45717</v>
      </c>
      <c r="C240" s="1" t="s">
        <v>27</v>
      </c>
      <c r="D240" s="1" t="s">
        <v>28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</row>
    <row r="241" spans="1:14">
      <c r="A241" s="1" t="s">
        <v>81</v>
      </c>
      <c r="B241" s="3">
        <v>45748</v>
      </c>
      <c r="C241" s="1" t="s">
        <v>27</v>
      </c>
      <c r="D241" s="1" t="s">
        <v>28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</row>
    <row r="242" spans="1:14">
      <c r="A242" s="1" t="s">
        <v>82</v>
      </c>
      <c r="B242" s="3">
        <v>45658</v>
      </c>
      <c r="C242" s="1" t="s">
        <v>24</v>
      </c>
      <c r="D242" s="1" t="s">
        <v>21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</row>
    <row r="243" spans="1:14">
      <c r="A243" s="1" t="s">
        <v>82</v>
      </c>
      <c r="B243" s="3">
        <v>45689</v>
      </c>
      <c r="C243" s="1" t="s">
        <v>24</v>
      </c>
      <c r="D243" s="1" t="s">
        <v>21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</row>
    <row r="244" spans="1:14">
      <c r="A244" s="1" t="s">
        <v>82</v>
      </c>
      <c r="B244" s="3">
        <v>45717</v>
      </c>
      <c r="C244" s="1" t="s">
        <v>24</v>
      </c>
      <c r="D244" s="1" t="s">
        <v>21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</row>
    <row r="245" spans="1:14">
      <c r="A245" s="1" t="s">
        <v>82</v>
      </c>
      <c r="B245" s="3">
        <v>45748</v>
      </c>
      <c r="C245" s="1" t="s">
        <v>24</v>
      </c>
      <c r="D245" s="1" t="s">
        <v>21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</row>
    <row r="246" spans="1:14">
      <c r="A246" s="1" t="s">
        <v>83</v>
      </c>
      <c r="B246" s="3">
        <v>45658</v>
      </c>
      <c r="C246" s="1" t="s">
        <v>15</v>
      </c>
      <c r="D246" s="1" t="s">
        <v>18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</row>
    <row r="247" spans="1:14">
      <c r="A247" s="1" t="s">
        <v>83</v>
      </c>
      <c r="B247" s="3">
        <v>45689</v>
      </c>
      <c r="C247" s="1" t="s">
        <v>15</v>
      </c>
      <c r="D247" s="1" t="s">
        <v>18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</row>
    <row r="248" spans="1:14">
      <c r="A248" s="1" t="s">
        <v>83</v>
      </c>
      <c r="B248" s="3">
        <v>45717</v>
      </c>
      <c r="C248" s="1" t="s">
        <v>15</v>
      </c>
      <c r="D248" s="1" t="s">
        <v>18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</row>
    <row r="249" spans="1:14">
      <c r="A249" s="1" t="s">
        <v>83</v>
      </c>
      <c r="B249" s="3">
        <v>45748</v>
      </c>
      <c r="C249" s="1" t="s">
        <v>15</v>
      </c>
      <c r="D249" s="1" t="s">
        <v>18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</row>
    <row r="250" spans="1:14">
      <c r="A250" s="1" t="s">
        <v>84</v>
      </c>
      <c r="B250" s="3">
        <v>45658</v>
      </c>
      <c r="C250" s="1" t="s">
        <v>20</v>
      </c>
      <c r="D250" s="1" t="s">
        <v>18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>
        <v>4.5590450000000002</v>
      </c>
      <c r="K250" s="1">
        <v>0</v>
      </c>
      <c r="L250" s="1">
        <v>3.8</v>
      </c>
      <c r="M250" s="1">
        <v>606783.67000000004</v>
      </c>
      <c r="N250" s="1">
        <v>74515.87</v>
      </c>
    </row>
    <row r="251" spans="1:14">
      <c r="A251" s="1" t="s">
        <v>84</v>
      </c>
      <c r="B251" s="3">
        <v>45689</v>
      </c>
      <c r="C251" s="1" t="s">
        <v>20</v>
      </c>
      <c r="D251" s="1" t="s">
        <v>18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</row>
    <row r="252" spans="1:14">
      <c r="A252" s="1" t="s">
        <v>84</v>
      </c>
      <c r="B252" s="3">
        <v>45717</v>
      </c>
      <c r="C252" s="1" t="s">
        <v>20</v>
      </c>
      <c r="D252" s="1" t="s">
        <v>18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</row>
    <row r="253" spans="1:14">
      <c r="A253" s="1" t="s">
        <v>84</v>
      </c>
      <c r="B253" s="3">
        <v>45748</v>
      </c>
      <c r="C253" s="1" t="s">
        <v>20</v>
      </c>
      <c r="D253" s="1" t="s">
        <v>18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</row>
    <row r="254" spans="1:14">
      <c r="A254" s="1" t="s">
        <v>85</v>
      </c>
      <c r="B254" s="3">
        <v>45658</v>
      </c>
      <c r="C254" s="1" t="s">
        <v>24</v>
      </c>
      <c r="D254" s="1" t="s">
        <v>21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</row>
    <row r="255" spans="1:14">
      <c r="A255" s="1" t="s">
        <v>85</v>
      </c>
      <c r="B255" s="3">
        <v>45689</v>
      </c>
      <c r="C255" s="1" t="s">
        <v>24</v>
      </c>
      <c r="D255" s="1" t="s">
        <v>21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</row>
    <row r="256" spans="1:14">
      <c r="A256" s="1" t="s">
        <v>85</v>
      </c>
      <c r="B256" s="3">
        <v>45717</v>
      </c>
      <c r="C256" s="1" t="s">
        <v>24</v>
      </c>
      <c r="D256" s="1" t="s">
        <v>21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</row>
    <row r="257" spans="1:14">
      <c r="A257" s="1" t="s">
        <v>85</v>
      </c>
      <c r="B257" s="3">
        <v>45748</v>
      </c>
      <c r="C257" s="1" t="s">
        <v>24</v>
      </c>
      <c r="D257" s="1" t="s">
        <v>21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</row>
    <row r="258" spans="1:14">
      <c r="A258" s="1" t="s">
        <v>86</v>
      </c>
      <c r="B258" s="3">
        <v>45658</v>
      </c>
      <c r="C258" s="1" t="s">
        <v>24</v>
      </c>
      <c r="D258" s="1" t="s">
        <v>28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</row>
    <row r="259" spans="1:14">
      <c r="A259" s="1" t="s">
        <v>86</v>
      </c>
      <c r="B259" s="3">
        <v>45689</v>
      </c>
      <c r="C259" s="1" t="s">
        <v>24</v>
      </c>
      <c r="D259" s="1" t="s">
        <v>28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</row>
    <row r="260" spans="1:14">
      <c r="A260" s="1" t="s">
        <v>86</v>
      </c>
      <c r="B260" s="3">
        <v>45717</v>
      </c>
      <c r="C260" s="1" t="s">
        <v>24</v>
      </c>
      <c r="D260" s="1" t="s">
        <v>28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</row>
    <row r="261" spans="1:14">
      <c r="A261" s="1" t="s">
        <v>86</v>
      </c>
      <c r="B261" s="3">
        <v>45748</v>
      </c>
      <c r="C261" s="1" t="s">
        <v>24</v>
      </c>
      <c r="D261" s="1" t="s">
        <v>28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</row>
    <row r="262" spans="1:14">
      <c r="A262" s="1" t="s">
        <v>87</v>
      </c>
      <c r="B262" s="3">
        <v>45658</v>
      </c>
      <c r="C262" s="1" t="s">
        <v>27</v>
      </c>
      <c r="D262" s="1" t="s">
        <v>18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</row>
    <row r="263" spans="1:14">
      <c r="A263" s="1" t="s">
        <v>87</v>
      </c>
      <c r="B263" s="3">
        <v>45689</v>
      </c>
      <c r="C263" s="1" t="s">
        <v>27</v>
      </c>
      <c r="D263" s="1" t="s">
        <v>18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>
        <v>4.5590450000000002</v>
      </c>
      <c r="K263" s="1">
        <v>0</v>
      </c>
      <c r="L263" s="1">
        <v>4.2</v>
      </c>
      <c r="M263" s="1">
        <v>605751.32999999996</v>
      </c>
      <c r="N263" s="1">
        <v>60685.53</v>
      </c>
    </row>
    <row r="264" spans="1:14">
      <c r="A264" s="1" t="s">
        <v>87</v>
      </c>
      <c r="B264" s="3">
        <v>45717</v>
      </c>
      <c r="C264" s="1" t="s">
        <v>27</v>
      </c>
      <c r="D264" s="1" t="s">
        <v>18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</row>
    <row r="265" spans="1:14">
      <c r="A265" s="1" t="s">
        <v>87</v>
      </c>
      <c r="B265" s="3">
        <v>45748</v>
      </c>
      <c r="C265" s="1" t="s">
        <v>27</v>
      </c>
      <c r="D265" s="1" t="s">
        <v>18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</row>
    <row r="266" spans="1:14">
      <c r="A266" s="1" t="s">
        <v>88</v>
      </c>
      <c r="B266" s="3">
        <v>45658</v>
      </c>
      <c r="C266" s="1" t="s">
        <v>15</v>
      </c>
      <c r="D266" s="1" t="s">
        <v>18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</row>
    <row r="267" spans="1:14">
      <c r="A267" s="1" t="s">
        <v>88</v>
      </c>
      <c r="B267" s="3">
        <v>45689</v>
      </c>
      <c r="C267" s="1" t="s">
        <v>15</v>
      </c>
      <c r="D267" s="1" t="s">
        <v>18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</row>
    <row r="268" spans="1:14">
      <c r="A268" s="1" t="s">
        <v>88</v>
      </c>
      <c r="B268" s="3">
        <v>45717</v>
      </c>
      <c r="C268" s="1" t="s">
        <v>15</v>
      </c>
      <c r="D268" s="1" t="s">
        <v>18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</row>
    <row r="269" spans="1:14">
      <c r="A269" s="1" t="s">
        <v>88</v>
      </c>
      <c r="B269" s="3">
        <v>45748</v>
      </c>
      <c r="C269" s="1" t="s">
        <v>15</v>
      </c>
      <c r="D269" s="1" t="s">
        <v>18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</row>
    <row r="270" spans="1:14">
      <c r="A270" s="1" t="s">
        <v>89</v>
      </c>
      <c r="B270" s="3">
        <v>45658</v>
      </c>
      <c r="C270" s="1" t="s">
        <v>15</v>
      </c>
      <c r="D270" s="1" t="s">
        <v>28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</row>
    <row r="271" spans="1:14">
      <c r="A271" s="1" t="s">
        <v>89</v>
      </c>
      <c r="B271" s="3">
        <v>45689</v>
      </c>
      <c r="C271" s="1" t="s">
        <v>15</v>
      </c>
      <c r="D271" s="1" t="s">
        <v>28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</row>
    <row r="272" spans="1:14">
      <c r="A272" s="1" t="s">
        <v>89</v>
      </c>
      <c r="B272" s="3">
        <v>45717</v>
      </c>
      <c r="C272" s="1" t="s">
        <v>15</v>
      </c>
      <c r="D272" s="1" t="s">
        <v>28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</row>
    <row r="273" spans="1:14">
      <c r="A273" s="1" t="s">
        <v>89</v>
      </c>
      <c r="B273" s="3">
        <v>45748</v>
      </c>
      <c r="C273" s="1" t="s">
        <v>15</v>
      </c>
      <c r="D273" s="1" t="s">
        <v>28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</row>
    <row r="274" spans="1:14">
      <c r="A274" s="1" t="s">
        <v>90</v>
      </c>
      <c r="B274" s="3">
        <v>45658</v>
      </c>
      <c r="C274" s="1" t="s">
        <v>27</v>
      </c>
      <c r="D274" s="1" t="s">
        <v>18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</row>
    <row r="275" spans="1:14">
      <c r="A275" s="1" t="s">
        <v>90</v>
      </c>
      <c r="B275" s="3">
        <v>45689</v>
      </c>
      <c r="C275" s="1" t="s">
        <v>27</v>
      </c>
      <c r="D275" s="1" t="s">
        <v>18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</row>
    <row r="276" spans="1:14">
      <c r="A276" s="1" t="s">
        <v>90</v>
      </c>
      <c r="B276" s="3">
        <v>45717</v>
      </c>
      <c r="C276" s="1" t="s">
        <v>27</v>
      </c>
      <c r="D276" s="1" t="s">
        <v>18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</row>
    <row r="277" spans="1:14">
      <c r="A277" s="1" t="s">
        <v>90</v>
      </c>
      <c r="B277" s="3">
        <v>45748</v>
      </c>
      <c r="C277" s="1" t="s">
        <v>27</v>
      </c>
      <c r="D277" s="1" t="s">
        <v>18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</row>
    <row r="278" spans="1:14">
      <c r="A278" s="1" t="s">
        <v>91</v>
      </c>
      <c r="B278" s="3">
        <v>45658</v>
      </c>
      <c r="C278" s="1" t="s">
        <v>24</v>
      </c>
      <c r="D278" s="1" t="s">
        <v>16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</row>
    <row r="279" spans="1:14">
      <c r="A279" s="1" t="s">
        <v>91</v>
      </c>
      <c r="B279" s="3">
        <v>45689</v>
      </c>
      <c r="C279" s="1" t="s">
        <v>24</v>
      </c>
      <c r="D279" s="1" t="s">
        <v>16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</row>
    <row r="280" spans="1:14">
      <c r="A280" s="1" t="s">
        <v>91</v>
      </c>
      <c r="B280" s="3">
        <v>45717</v>
      </c>
      <c r="C280" s="1" t="s">
        <v>24</v>
      </c>
      <c r="D280" s="1" t="s">
        <v>16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</row>
    <row r="281" spans="1:14">
      <c r="A281" s="1" t="s">
        <v>91</v>
      </c>
      <c r="B281" s="3">
        <v>45748</v>
      </c>
      <c r="C281" s="1" t="s">
        <v>24</v>
      </c>
      <c r="D281" s="1" t="s">
        <v>16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</row>
    <row r="282" spans="1:14">
      <c r="A282" s="1" t="s">
        <v>92</v>
      </c>
      <c r="B282" s="3">
        <v>45658</v>
      </c>
      <c r="C282" s="1" t="s">
        <v>24</v>
      </c>
      <c r="D282" s="1" t="s">
        <v>18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</row>
    <row r="283" spans="1:14">
      <c r="A283" s="1" t="s">
        <v>92</v>
      </c>
      <c r="B283" s="3">
        <v>45689</v>
      </c>
      <c r="C283" s="1" t="s">
        <v>24</v>
      </c>
      <c r="D283" s="1" t="s">
        <v>18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</row>
    <row r="284" spans="1:14">
      <c r="A284" s="1" t="s">
        <v>92</v>
      </c>
      <c r="B284" s="3">
        <v>45717</v>
      </c>
      <c r="C284" s="1" t="s">
        <v>24</v>
      </c>
      <c r="D284" s="1" t="s">
        <v>18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</row>
    <row r="285" spans="1:14">
      <c r="A285" s="1" t="s">
        <v>92</v>
      </c>
      <c r="B285" s="3">
        <v>45748</v>
      </c>
      <c r="C285" s="1" t="s">
        <v>24</v>
      </c>
      <c r="D285" s="1" t="s">
        <v>18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</row>
    <row r="286" spans="1:14">
      <c r="A286" s="1" t="s">
        <v>93</v>
      </c>
      <c r="B286" s="3">
        <v>45658</v>
      </c>
      <c r="C286" s="1" t="s">
        <v>27</v>
      </c>
      <c r="D286" s="1" t="s">
        <v>16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</row>
    <row r="287" spans="1:14">
      <c r="A287" s="1" t="s">
        <v>93</v>
      </c>
      <c r="B287" s="3">
        <v>45689</v>
      </c>
      <c r="C287" s="1" t="s">
        <v>27</v>
      </c>
      <c r="D287" s="1" t="s">
        <v>16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</row>
    <row r="288" spans="1:14">
      <c r="A288" s="1" t="s">
        <v>93</v>
      </c>
      <c r="B288" s="3">
        <v>45717</v>
      </c>
      <c r="C288" s="1" t="s">
        <v>27</v>
      </c>
      <c r="D288" s="1" t="s">
        <v>16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</row>
    <row r="289" spans="1:14">
      <c r="A289" s="1" t="s">
        <v>93</v>
      </c>
      <c r="B289" s="3">
        <v>45748</v>
      </c>
      <c r="C289" s="1" t="s">
        <v>27</v>
      </c>
      <c r="D289" s="1" t="s">
        <v>16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</row>
    <row r="290" spans="1:14">
      <c r="A290" s="1" t="s">
        <v>94</v>
      </c>
      <c r="B290" s="3">
        <v>45658</v>
      </c>
      <c r="C290" s="1" t="s">
        <v>15</v>
      </c>
      <c r="D290" s="1" t="s">
        <v>16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</row>
    <row r="291" spans="1:14">
      <c r="A291" s="1" t="s">
        <v>94</v>
      </c>
      <c r="B291" s="3">
        <v>45689</v>
      </c>
      <c r="C291" s="1" t="s">
        <v>15</v>
      </c>
      <c r="D291" s="1" t="s">
        <v>16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</row>
    <row r="292" spans="1:14">
      <c r="A292" s="1" t="s">
        <v>94</v>
      </c>
      <c r="B292" s="3">
        <v>45717</v>
      </c>
      <c r="C292" s="1" t="s">
        <v>15</v>
      </c>
      <c r="D292" s="1" t="s">
        <v>16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</row>
    <row r="293" spans="1:14">
      <c r="A293" s="1" t="s">
        <v>94</v>
      </c>
      <c r="B293" s="3">
        <v>45748</v>
      </c>
      <c r="C293" s="1" t="s">
        <v>15</v>
      </c>
      <c r="D293" s="1" t="s">
        <v>16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</row>
    <row r="294" spans="1:14">
      <c r="A294" s="1" t="s">
        <v>95</v>
      </c>
      <c r="B294" s="3">
        <v>45658</v>
      </c>
      <c r="C294" s="1" t="s">
        <v>27</v>
      </c>
      <c r="D294" s="1" t="s">
        <v>18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</row>
    <row r="295" spans="1:14">
      <c r="A295" s="1" t="s">
        <v>95</v>
      </c>
      <c r="B295" s="3">
        <v>45689</v>
      </c>
      <c r="C295" s="1" t="s">
        <v>27</v>
      </c>
      <c r="D295" s="1" t="s">
        <v>18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</row>
    <row r="296" spans="1:14">
      <c r="A296" s="1" t="s">
        <v>95</v>
      </c>
      <c r="B296" s="3">
        <v>45717</v>
      </c>
      <c r="C296" s="1" t="s">
        <v>27</v>
      </c>
      <c r="D296" s="1" t="s">
        <v>18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</row>
    <row r="297" spans="1:14">
      <c r="A297" s="1" t="s">
        <v>95</v>
      </c>
      <c r="B297" s="3">
        <v>45748</v>
      </c>
      <c r="C297" s="1" t="s">
        <v>27</v>
      </c>
      <c r="D297" s="1" t="s">
        <v>18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</row>
    <row r="298" spans="1:14">
      <c r="A298" s="1" t="s">
        <v>96</v>
      </c>
      <c r="B298" s="3">
        <v>45658</v>
      </c>
      <c r="C298" s="1" t="s">
        <v>27</v>
      </c>
      <c r="D298" s="1" t="s">
        <v>18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</row>
    <row r="299" spans="1:14">
      <c r="A299" s="1" t="s">
        <v>96</v>
      </c>
      <c r="B299" s="3">
        <v>45689</v>
      </c>
      <c r="C299" s="1" t="s">
        <v>27</v>
      </c>
      <c r="D299" s="1" t="s">
        <v>18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</row>
    <row r="300" spans="1:14">
      <c r="A300" s="1" t="s">
        <v>96</v>
      </c>
      <c r="B300" s="3">
        <v>45717</v>
      </c>
      <c r="C300" s="1" t="s">
        <v>27</v>
      </c>
      <c r="D300" s="1" t="s">
        <v>18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</row>
    <row r="301" spans="1:14">
      <c r="A301" s="1" t="s">
        <v>96</v>
      </c>
      <c r="B301" s="3">
        <v>45748</v>
      </c>
      <c r="C301" s="1" t="s">
        <v>27</v>
      </c>
      <c r="D301" s="1" t="s">
        <v>18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</row>
    <row r="302" spans="1:14">
      <c r="A302" s="1" t="s">
        <v>97</v>
      </c>
      <c r="B302" s="3">
        <v>45658</v>
      </c>
      <c r="C302" s="1" t="s">
        <v>20</v>
      </c>
      <c r="D302" s="1" t="s">
        <v>28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</row>
    <row r="303" spans="1:14">
      <c r="A303" s="1" t="s">
        <v>97</v>
      </c>
      <c r="B303" s="3">
        <v>45689</v>
      </c>
      <c r="C303" s="1" t="s">
        <v>20</v>
      </c>
      <c r="D303" s="1" t="s">
        <v>28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</row>
    <row r="304" spans="1:14">
      <c r="A304" s="1" t="s">
        <v>97</v>
      </c>
      <c r="B304" s="3">
        <v>45717</v>
      </c>
      <c r="C304" s="1" t="s">
        <v>20</v>
      </c>
      <c r="D304" s="1" t="s">
        <v>28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</row>
    <row r="305" spans="1:14">
      <c r="A305" s="1" t="s">
        <v>97</v>
      </c>
      <c r="B305" s="3">
        <v>45748</v>
      </c>
      <c r="C305" s="1" t="s">
        <v>20</v>
      </c>
      <c r="D305" s="1" t="s">
        <v>28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</row>
    <row r="306" spans="1:14">
      <c r="A306" s="1" t="s">
        <v>98</v>
      </c>
      <c r="B306" s="3">
        <v>45658</v>
      </c>
      <c r="C306" s="1" t="s">
        <v>24</v>
      </c>
      <c r="D306" s="1" t="s">
        <v>16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</row>
    <row r="307" spans="1:14">
      <c r="A307" s="1" t="s">
        <v>98</v>
      </c>
      <c r="B307" s="3">
        <v>45689</v>
      </c>
      <c r="C307" s="1" t="s">
        <v>24</v>
      </c>
      <c r="D307" s="1" t="s">
        <v>16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</row>
    <row r="308" spans="1:14">
      <c r="A308" s="1" t="s">
        <v>98</v>
      </c>
      <c r="B308" s="3">
        <v>45717</v>
      </c>
      <c r="C308" s="1" t="s">
        <v>24</v>
      </c>
      <c r="D308" s="1" t="s">
        <v>16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</row>
    <row r="309" spans="1:14">
      <c r="A309" s="1" t="s">
        <v>98</v>
      </c>
      <c r="B309" s="3">
        <v>45748</v>
      </c>
      <c r="C309" s="1" t="s">
        <v>24</v>
      </c>
      <c r="D309" s="1" t="s">
        <v>16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</row>
    <row r="310" spans="1:14">
      <c r="A310" s="1" t="s">
        <v>99</v>
      </c>
      <c r="B310" s="3">
        <v>45658</v>
      </c>
      <c r="C310" s="1" t="s">
        <v>24</v>
      </c>
      <c r="D310" s="1" t="s">
        <v>18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</row>
    <row r="311" spans="1:14">
      <c r="A311" s="1" t="s">
        <v>99</v>
      </c>
      <c r="B311" s="3">
        <v>45689</v>
      </c>
      <c r="C311" s="1" t="s">
        <v>24</v>
      </c>
      <c r="D311" s="1" t="s">
        <v>18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</row>
    <row r="312" spans="1:14">
      <c r="A312" s="1" t="s">
        <v>99</v>
      </c>
      <c r="B312" s="3">
        <v>45717</v>
      </c>
      <c r="C312" s="1" t="s">
        <v>24</v>
      </c>
      <c r="D312" s="1" t="s">
        <v>18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</row>
    <row r="313" spans="1:14">
      <c r="A313" s="1" t="s">
        <v>99</v>
      </c>
      <c r="B313" s="3">
        <v>45748</v>
      </c>
      <c r="C313" s="1" t="s">
        <v>24</v>
      </c>
      <c r="D313" s="1" t="s">
        <v>18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>
        <v>3.92</v>
      </c>
      <c r="M313" s="1">
        <v>771129.07</v>
      </c>
      <c r="N313" s="1">
        <v>116851.13</v>
      </c>
    </row>
    <row r="314" spans="1:14">
      <c r="A314" s="1" t="s">
        <v>100</v>
      </c>
      <c r="B314" s="3">
        <v>45658</v>
      </c>
      <c r="C314" s="1" t="s">
        <v>20</v>
      </c>
      <c r="D314" s="1" t="s">
        <v>16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</row>
    <row r="315" spans="1:14">
      <c r="A315" s="1" t="s">
        <v>100</v>
      </c>
      <c r="B315" s="3">
        <v>45689</v>
      </c>
      <c r="C315" s="1" t="s">
        <v>20</v>
      </c>
      <c r="D315" s="1" t="s">
        <v>16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>
        <v>3.92</v>
      </c>
      <c r="M315" s="1">
        <v>688368.46</v>
      </c>
      <c r="N315" s="1">
        <v>93588.42</v>
      </c>
    </row>
    <row r="316" spans="1:14">
      <c r="A316" s="1" t="s">
        <v>100</v>
      </c>
      <c r="B316" s="3">
        <v>45717</v>
      </c>
      <c r="C316" s="1" t="s">
        <v>20</v>
      </c>
      <c r="D316" s="1" t="s">
        <v>16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</row>
    <row r="317" spans="1:14">
      <c r="A317" s="1" t="s">
        <v>100</v>
      </c>
      <c r="B317" s="3">
        <v>45748</v>
      </c>
      <c r="C317" s="1" t="s">
        <v>20</v>
      </c>
      <c r="D317" s="1" t="s">
        <v>16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</row>
    <row r="318" spans="1:14">
      <c r="A318" s="1" t="s">
        <v>101</v>
      </c>
      <c r="B318" s="3">
        <v>45658</v>
      </c>
      <c r="C318" s="1" t="s">
        <v>15</v>
      </c>
      <c r="D318" s="1" t="s">
        <v>16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</row>
    <row r="319" spans="1:14">
      <c r="A319" s="1" t="s">
        <v>101</v>
      </c>
      <c r="B319" s="3">
        <v>45689</v>
      </c>
      <c r="C319" s="1" t="s">
        <v>15</v>
      </c>
      <c r="D319" s="1" t="s">
        <v>16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</row>
    <row r="320" spans="1:14">
      <c r="A320" s="1" t="s">
        <v>101</v>
      </c>
      <c r="B320" s="3">
        <v>45717</v>
      </c>
      <c r="C320" s="1" t="s">
        <v>15</v>
      </c>
      <c r="D320" s="1" t="s">
        <v>16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</row>
    <row r="321" spans="1:14">
      <c r="A321" s="1" t="s">
        <v>101</v>
      </c>
      <c r="B321" s="3">
        <v>45748</v>
      </c>
      <c r="C321" s="1" t="s">
        <v>15</v>
      </c>
      <c r="D321" s="1" t="s">
        <v>16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</row>
  </sheetData>
  <autoFilter ref="A1:N321" xr:uid="{4A5F7BCF-38A1-490B-9E8C-0FC1CA885AF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0657-FEBF-40D1-B489-319618F6E827}">
  <dimension ref="A1:T321"/>
  <sheetViews>
    <sheetView topLeftCell="T1" workbookViewId="0">
      <selection activeCell="Y1" sqref="Y1:AA1"/>
    </sheetView>
  </sheetViews>
  <sheetFormatPr defaultRowHeight="14.5"/>
  <cols>
    <col min="1" max="1" width="15.81640625" customWidth="1"/>
    <col min="15" max="16" width="12.36328125" customWidth="1"/>
    <col min="17" max="17" width="12.7265625" customWidth="1"/>
    <col min="18" max="18" width="14.90625" customWidth="1"/>
    <col min="19" max="19" width="11" customWidth="1"/>
    <col min="23" max="23" width="15.36328125" bestFit="1" customWidth="1"/>
    <col min="25" max="25" width="15" customWidth="1"/>
    <col min="27" max="27" width="22.36328125" bestFit="1" customWidth="1"/>
  </cols>
  <sheetData>
    <row r="1" spans="1:20" ht="5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</row>
    <row r="2" spans="1:20">
      <c r="A2" s="1" t="s">
        <v>14</v>
      </c>
      <c r="B2" s="3">
        <v>45658</v>
      </c>
      <c r="C2" s="1" t="s">
        <v>15</v>
      </c>
      <c r="D2" s="1" t="s">
        <v>16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  <c r="O2">
        <f>IF(C2="North",1,0)</f>
        <v>0</v>
      </c>
      <c r="P2">
        <f>IF(C2="South",1,0)</f>
        <v>0</v>
      </c>
      <c r="Q2">
        <f>IF(C2="West",1,0)</f>
        <v>0</v>
      </c>
      <c r="R2">
        <f>IF(D2="High Street",1,0)</f>
        <v>0</v>
      </c>
      <c r="S2">
        <f>IF(D2="Airport",1,0)</f>
        <v>0</v>
      </c>
      <c r="T2">
        <f>IF(D2="Mall",1,0)</f>
        <v>0</v>
      </c>
    </row>
    <row r="3" spans="1:20">
      <c r="A3" s="1" t="s">
        <v>14</v>
      </c>
      <c r="B3" s="3">
        <v>45689</v>
      </c>
      <c r="C3" s="1" t="s">
        <v>15</v>
      </c>
      <c r="D3" s="1" t="s">
        <v>16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  <c r="O3">
        <f t="shared" ref="O3:O66" si="0">IF(C3="North",1,0)</f>
        <v>0</v>
      </c>
      <c r="P3">
        <f t="shared" ref="P3:P66" si="1">IF(C3="South",1,0)</f>
        <v>0</v>
      </c>
      <c r="Q3">
        <f t="shared" ref="Q3:Q66" si="2">IF(C3="West",1,0)</f>
        <v>0</v>
      </c>
      <c r="R3">
        <f t="shared" ref="R3:R66" si="3">IF(D3="High Street",1,0)</f>
        <v>0</v>
      </c>
      <c r="S3">
        <f t="shared" ref="S3:S66" si="4">IF(D3="Airport",1,0)</f>
        <v>0</v>
      </c>
      <c r="T3">
        <f t="shared" ref="T3:T66" si="5">IF(D3="Mall",1,0)</f>
        <v>0</v>
      </c>
    </row>
    <row r="4" spans="1:20">
      <c r="A4" s="1" t="s">
        <v>14</v>
      </c>
      <c r="B4" s="3">
        <v>45717</v>
      </c>
      <c r="C4" s="1" t="s">
        <v>15</v>
      </c>
      <c r="D4" s="1" t="s">
        <v>16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  <c r="O4">
        <f t="shared" si="0"/>
        <v>0</v>
      </c>
      <c r="P4">
        <f t="shared" si="1"/>
        <v>0</v>
      </c>
      <c r="Q4">
        <f t="shared" si="2"/>
        <v>0</v>
      </c>
      <c r="R4">
        <f t="shared" si="3"/>
        <v>0</v>
      </c>
      <c r="S4">
        <f t="shared" si="4"/>
        <v>0</v>
      </c>
      <c r="T4">
        <f t="shared" si="5"/>
        <v>0</v>
      </c>
    </row>
    <row r="5" spans="1:20">
      <c r="A5" s="1" t="s">
        <v>14</v>
      </c>
      <c r="B5" s="3">
        <v>45748</v>
      </c>
      <c r="C5" s="1" t="s">
        <v>15</v>
      </c>
      <c r="D5" s="1" t="s">
        <v>16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  <c r="O5">
        <f t="shared" si="0"/>
        <v>0</v>
      </c>
      <c r="P5">
        <f t="shared" si="1"/>
        <v>0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0</v>
      </c>
    </row>
    <row r="6" spans="1:20">
      <c r="A6" s="1" t="s">
        <v>17</v>
      </c>
      <c r="B6" s="3">
        <v>45658</v>
      </c>
      <c r="C6" s="1" t="s">
        <v>15</v>
      </c>
      <c r="D6" s="1" t="s">
        <v>18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  <c r="O6">
        <f t="shared" si="0"/>
        <v>0</v>
      </c>
      <c r="P6">
        <f t="shared" si="1"/>
        <v>0</v>
      </c>
      <c r="Q6">
        <f t="shared" si="2"/>
        <v>0</v>
      </c>
      <c r="R6">
        <f t="shared" si="3"/>
        <v>1</v>
      </c>
      <c r="S6">
        <f t="shared" si="4"/>
        <v>0</v>
      </c>
      <c r="T6">
        <f t="shared" si="5"/>
        <v>0</v>
      </c>
    </row>
    <row r="7" spans="1:20">
      <c r="A7" s="1" t="s">
        <v>17</v>
      </c>
      <c r="B7" s="3">
        <v>45689</v>
      </c>
      <c r="C7" s="1" t="s">
        <v>15</v>
      </c>
      <c r="D7" s="1" t="s">
        <v>18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  <c r="O7">
        <f t="shared" si="0"/>
        <v>0</v>
      </c>
      <c r="P7">
        <f t="shared" si="1"/>
        <v>0</v>
      </c>
      <c r="Q7">
        <f t="shared" si="2"/>
        <v>0</v>
      </c>
      <c r="R7">
        <f t="shared" si="3"/>
        <v>1</v>
      </c>
      <c r="S7">
        <f t="shared" si="4"/>
        <v>0</v>
      </c>
      <c r="T7">
        <f t="shared" si="5"/>
        <v>0</v>
      </c>
    </row>
    <row r="8" spans="1:20">
      <c r="A8" s="1" t="s">
        <v>17</v>
      </c>
      <c r="B8" s="3">
        <v>45717</v>
      </c>
      <c r="C8" s="1" t="s">
        <v>15</v>
      </c>
      <c r="D8" s="1" t="s">
        <v>18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  <c r="O8">
        <f t="shared" si="0"/>
        <v>0</v>
      </c>
      <c r="P8">
        <f t="shared" si="1"/>
        <v>0</v>
      </c>
      <c r="Q8">
        <f t="shared" si="2"/>
        <v>0</v>
      </c>
      <c r="R8">
        <f t="shared" si="3"/>
        <v>1</v>
      </c>
      <c r="S8">
        <f t="shared" si="4"/>
        <v>0</v>
      </c>
      <c r="T8">
        <f t="shared" si="5"/>
        <v>0</v>
      </c>
    </row>
    <row r="9" spans="1:20">
      <c r="A9" s="1" t="s">
        <v>17</v>
      </c>
      <c r="B9" s="3">
        <v>45748</v>
      </c>
      <c r="C9" s="1" t="s">
        <v>15</v>
      </c>
      <c r="D9" s="1" t="s">
        <v>18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1</v>
      </c>
      <c r="S9">
        <f t="shared" si="4"/>
        <v>0</v>
      </c>
      <c r="T9">
        <f t="shared" si="5"/>
        <v>0</v>
      </c>
    </row>
    <row r="10" spans="1:20">
      <c r="A10" s="1" t="s">
        <v>19</v>
      </c>
      <c r="B10" s="3">
        <v>45658</v>
      </c>
      <c r="C10" s="1" t="s">
        <v>20</v>
      </c>
      <c r="D10" s="1" t="s">
        <v>21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  <c r="R10">
        <f t="shared" si="3"/>
        <v>0</v>
      </c>
      <c r="S10">
        <f t="shared" si="4"/>
        <v>1</v>
      </c>
      <c r="T10">
        <f t="shared" si="5"/>
        <v>0</v>
      </c>
    </row>
    <row r="11" spans="1:20">
      <c r="A11" s="1" t="s">
        <v>19</v>
      </c>
      <c r="B11" s="3">
        <v>45689</v>
      </c>
      <c r="C11" s="1" t="s">
        <v>20</v>
      </c>
      <c r="D11" s="1" t="s">
        <v>21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  <c r="O11">
        <f t="shared" si="0"/>
        <v>1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1</v>
      </c>
      <c r="T11">
        <f t="shared" si="5"/>
        <v>0</v>
      </c>
    </row>
    <row r="12" spans="1:20">
      <c r="A12" s="1" t="s">
        <v>19</v>
      </c>
      <c r="B12" s="3">
        <v>45717</v>
      </c>
      <c r="C12" s="1" t="s">
        <v>20</v>
      </c>
      <c r="D12" s="1" t="s">
        <v>21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  <c r="O12">
        <f t="shared" si="0"/>
        <v>1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1</v>
      </c>
      <c r="T12">
        <f t="shared" si="5"/>
        <v>0</v>
      </c>
    </row>
    <row r="13" spans="1:20">
      <c r="A13" s="1" t="s">
        <v>19</v>
      </c>
      <c r="B13" s="3">
        <v>45748</v>
      </c>
      <c r="C13" s="1" t="s">
        <v>20</v>
      </c>
      <c r="D13" s="1" t="s">
        <v>21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  <c r="O13">
        <f t="shared" si="0"/>
        <v>1</v>
      </c>
      <c r="P13">
        <f t="shared" si="1"/>
        <v>0</v>
      </c>
      <c r="Q13">
        <f t="shared" si="2"/>
        <v>0</v>
      </c>
      <c r="R13">
        <f t="shared" si="3"/>
        <v>0</v>
      </c>
      <c r="S13">
        <f t="shared" si="4"/>
        <v>1</v>
      </c>
      <c r="T13">
        <f t="shared" si="5"/>
        <v>0</v>
      </c>
    </row>
    <row r="14" spans="1:20">
      <c r="A14" s="1" t="s">
        <v>22</v>
      </c>
      <c r="B14" s="3">
        <v>45658</v>
      </c>
      <c r="C14" s="1" t="s">
        <v>15</v>
      </c>
      <c r="D14" s="1" t="s">
        <v>16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  <c r="S14">
        <f t="shared" si="4"/>
        <v>0</v>
      </c>
      <c r="T14">
        <f t="shared" si="5"/>
        <v>0</v>
      </c>
    </row>
    <row r="15" spans="1:20">
      <c r="A15" s="1" t="s">
        <v>22</v>
      </c>
      <c r="B15" s="3">
        <v>45689</v>
      </c>
      <c r="C15" s="1" t="s">
        <v>15</v>
      </c>
      <c r="D15" s="1" t="s">
        <v>16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0</v>
      </c>
      <c r="S15">
        <f t="shared" si="4"/>
        <v>0</v>
      </c>
      <c r="T15">
        <f t="shared" si="5"/>
        <v>0</v>
      </c>
    </row>
    <row r="16" spans="1:20">
      <c r="A16" s="1" t="s">
        <v>22</v>
      </c>
      <c r="B16" s="3">
        <v>45717</v>
      </c>
      <c r="C16" s="1" t="s">
        <v>15</v>
      </c>
      <c r="D16" s="1" t="s">
        <v>16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  <c r="O16">
        <f t="shared" si="0"/>
        <v>0</v>
      </c>
      <c r="P16">
        <f t="shared" si="1"/>
        <v>0</v>
      </c>
      <c r="Q16">
        <f t="shared" si="2"/>
        <v>0</v>
      </c>
      <c r="R16">
        <f t="shared" si="3"/>
        <v>0</v>
      </c>
      <c r="S16">
        <f t="shared" si="4"/>
        <v>0</v>
      </c>
      <c r="T16">
        <f t="shared" si="5"/>
        <v>0</v>
      </c>
    </row>
    <row r="17" spans="1:20">
      <c r="A17" s="1" t="s">
        <v>22</v>
      </c>
      <c r="B17" s="3">
        <v>45748</v>
      </c>
      <c r="C17" s="1" t="s">
        <v>15</v>
      </c>
      <c r="D17" s="1" t="s">
        <v>16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0</v>
      </c>
      <c r="T17">
        <f t="shared" si="5"/>
        <v>0</v>
      </c>
    </row>
    <row r="18" spans="1:20">
      <c r="A18" s="1" t="s">
        <v>23</v>
      </c>
      <c r="B18" s="3">
        <v>45658</v>
      </c>
      <c r="C18" s="1" t="s">
        <v>24</v>
      </c>
      <c r="D18" s="1" t="s">
        <v>16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  <c r="O18">
        <f t="shared" si="0"/>
        <v>0</v>
      </c>
      <c r="P18">
        <f t="shared" si="1"/>
        <v>1</v>
      </c>
      <c r="Q18">
        <f t="shared" si="2"/>
        <v>0</v>
      </c>
      <c r="R18">
        <f t="shared" si="3"/>
        <v>0</v>
      </c>
      <c r="S18">
        <f t="shared" si="4"/>
        <v>0</v>
      </c>
      <c r="T18">
        <f t="shared" si="5"/>
        <v>0</v>
      </c>
    </row>
    <row r="19" spans="1:20">
      <c r="A19" s="1" t="s">
        <v>23</v>
      </c>
      <c r="B19" s="3">
        <v>45689</v>
      </c>
      <c r="C19" s="1" t="s">
        <v>24</v>
      </c>
      <c r="D19" s="1" t="s">
        <v>16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  <c r="O19">
        <f t="shared" si="0"/>
        <v>0</v>
      </c>
      <c r="P19">
        <f t="shared" si="1"/>
        <v>1</v>
      </c>
      <c r="Q19">
        <f t="shared" si="2"/>
        <v>0</v>
      </c>
      <c r="R19">
        <f t="shared" si="3"/>
        <v>0</v>
      </c>
      <c r="S19">
        <f t="shared" si="4"/>
        <v>0</v>
      </c>
      <c r="T19">
        <f t="shared" si="5"/>
        <v>0</v>
      </c>
    </row>
    <row r="20" spans="1:20">
      <c r="A20" s="1" t="s">
        <v>23</v>
      </c>
      <c r="B20" s="3">
        <v>45717</v>
      </c>
      <c r="C20" s="1" t="s">
        <v>24</v>
      </c>
      <c r="D20" s="1" t="s">
        <v>16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  <c r="O20">
        <f t="shared" si="0"/>
        <v>0</v>
      </c>
      <c r="P20">
        <f t="shared" si="1"/>
        <v>1</v>
      </c>
      <c r="Q20">
        <f t="shared" si="2"/>
        <v>0</v>
      </c>
      <c r="R20">
        <f t="shared" si="3"/>
        <v>0</v>
      </c>
      <c r="S20">
        <f t="shared" si="4"/>
        <v>0</v>
      </c>
      <c r="T20">
        <f t="shared" si="5"/>
        <v>0</v>
      </c>
    </row>
    <row r="21" spans="1:20">
      <c r="A21" s="1" t="s">
        <v>23</v>
      </c>
      <c r="B21" s="3">
        <v>45748</v>
      </c>
      <c r="C21" s="1" t="s">
        <v>24</v>
      </c>
      <c r="D21" s="1" t="s">
        <v>16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  <c r="O21">
        <f t="shared" si="0"/>
        <v>0</v>
      </c>
      <c r="P21">
        <f t="shared" si="1"/>
        <v>1</v>
      </c>
      <c r="Q21">
        <f t="shared" si="2"/>
        <v>0</v>
      </c>
      <c r="R21">
        <f t="shared" si="3"/>
        <v>0</v>
      </c>
      <c r="S21">
        <f t="shared" si="4"/>
        <v>0</v>
      </c>
      <c r="T21">
        <f t="shared" si="5"/>
        <v>0</v>
      </c>
    </row>
    <row r="22" spans="1:20">
      <c r="A22" s="1" t="s">
        <v>25</v>
      </c>
      <c r="B22" s="3">
        <v>45658</v>
      </c>
      <c r="C22" s="1" t="s">
        <v>20</v>
      </c>
      <c r="D22" s="1" t="s">
        <v>16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  <c r="O22">
        <f t="shared" si="0"/>
        <v>1</v>
      </c>
      <c r="P22">
        <f t="shared" si="1"/>
        <v>0</v>
      </c>
      <c r="Q22">
        <f t="shared" si="2"/>
        <v>0</v>
      </c>
      <c r="R22">
        <f t="shared" si="3"/>
        <v>0</v>
      </c>
      <c r="S22">
        <f t="shared" si="4"/>
        <v>0</v>
      </c>
      <c r="T22">
        <f t="shared" si="5"/>
        <v>0</v>
      </c>
    </row>
    <row r="23" spans="1:20">
      <c r="A23" s="1" t="s">
        <v>25</v>
      </c>
      <c r="B23" s="3">
        <v>45689</v>
      </c>
      <c r="C23" s="1" t="s">
        <v>20</v>
      </c>
      <c r="D23" s="1" t="s">
        <v>16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  <c r="O23">
        <f t="shared" si="0"/>
        <v>1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0</v>
      </c>
    </row>
    <row r="24" spans="1:20">
      <c r="A24" s="1" t="s">
        <v>25</v>
      </c>
      <c r="B24" s="3">
        <v>45717</v>
      </c>
      <c r="C24" s="1" t="s">
        <v>20</v>
      </c>
      <c r="D24" s="1" t="s">
        <v>16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  <c r="O24">
        <f t="shared" si="0"/>
        <v>1</v>
      </c>
      <c r="P24">
        <f t="shared" si="1"/>
        <v>0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0</v>
      </c>
    </row>
    <row r="25" spans="1:20">
      <c r="A25" s="1" t="s">
        <v>25</v>
      </c>
      <c r="B25" s="3">
        <v>45748</v>
      </c>
      <c r="C25" s="1" t="s">
        <v>20</v>
      </c>
      <c r="D25" s="1" t="s">
        <v>16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  <c r="O25">
        <f t="shared" si="0"/>
        <v>1</v>
      </c>
      <c r="P25">
        <f t="shared" si="1"/>
        <v>0</v>
      </c>
      <c r="Q25">
        <f t="shared" si="2"/>
        <v>0</v>
      </c>
      <c r="R25">
        <f t="shared" si="3"/>
        <v>0</v>
      </c>
      <c r="S25">
        <f t="shared" si="4"/>
        <v>0</v>
      </c>
      <c r="T25">
        <f t="shared" si="5"/>
        <v>0</v>
      </c>
    </row>
    <row r="26" spans="1:20">
      <c r="A26" s="1" t="s">
        <v>26</v>
      </c>
      <c r="B26" s="3">
        <v>45658</v>
      </c>
      <c r="C26" s="1" t="s">
        <v>27</v>
      </c>
      <c r="D26" s="1" t="s">
        <v>28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  <c r="O26">
        <f t="shared" si="0"/>
        <v>0</v>
      </c>
      <c r="P26">
        <f t="shared" si="1"/>
        <v>0</v>
      </c>
      <c r="Q26">
        <f t="shared" si="2"/>
        <v>1</v>
      </c>
      <c r="R26">
        <f t="shared" si="3"/>
        <v>0</v>
      </c>
      <c r="S26">
        <f t="shared" si="4"/>
        <v>0</v>
      </c>
      <c r="T26">
        <f t="shared" si="5"/>
        <v>1</v>
      </c>
    </row>
    <row r="27" spans="1:20">
      <c r="A27" s="1" t="s">
        <v>26</v>
      </c>
      <c r="B27" s="3">
        <v>45689</v>
      </c>
      <c r="C27" s="1" t="s">
        <v>27</v>
      </c>
      <c r="D27" s="1" t="s">
        <v>28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  <c r="O27">
        <f t="shared" si="0"/>
        <v>0</v>
      </c>
      <c r="P27">
        <f t="shared" si="1"/>
        <v>0</v>
      </c>
      <c r="Q27">
        <f t="shared" si="2"/>
        <v>1</v>
      </c>
      <c r="R27">
        <f t="shared" si="3"/>
        <v>0</v>
      </c>
      <c r="S27">
        <f t="shared" si="4"/>
        <v>0</v>
      </c>
      <c r="T27">
        <f t="shared" si="5"/>
        <v>1</v>
      </c>
    </row>
    <row r="28" spans="1:20">
      <c r="A28" s="1" t="s">
        <v>26</v>
      </c>
      <c r="B28" s="3">
        <v>45717</v>
      </c>
      <c r="C28" s="1" t="s">
        <v>27</v>
      </c>
      <c r="D28" s="1" t="s">
        <v>28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  <c r="O28">
        <f t="shared" si="0"/>
        <v>0</v>
      </c>
      <c r="P28">
        <f t="shared" si="1"/>
        <v>0</v>
      </c>
      <c r="Q28">
        <f t="shared" si="2"/>
        <v>1</v>
      </c>
      <c r="R28">
        <f t="shared" si="3"/>
        <v>0</v>
      </c>
      <c r="S28">
        <f t="shared" si="4"/>
        <v>0</v>
      </c>
      <c r="T28">
        <f t="shared" si="5"/>
        <v>1</v>
      </c>
    </row>
    <row r="29" spans="1:20">
      <c r="A29" s="1" t="s">
        <v>26</v>
      </c>
      <c r="B29" s="3">
        <v>45748</v>
      </c>
      <c r="C29" s="1" t="s">
        <v>27</v>
      </c>
      <c r="D29" s="1" t="s">
        <v>28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  <c r="O29">
        <f t="shared" si="0"/>
        <v>0</v>
      </c>
      <c r="P29">
        <f t="shared" si="1"/>
        <v>0</v>
      </c>
      <c r="Q29">
        <f t="shared" si="2"/>
        <v>1</v>
      </c>
      <c r="R29">
        <f t="shared" si="3"/>
        <v>0</v>
      </c>
      <c r="S29">
        <f t="shared" si="4"/>
        <v>0</v>
      </c>
      <c r="T29">
        <f t="shared" si="5"/>
        <v>1</v>
      </c>
    </row>
    <row r="30" spans="1:20">
      <c r="A30" s="1" t="s">
        <v>29</v>
      </c>
      <c r="B30" s="3">
        <v>45658</v>
      </c>
      <c r="C30" s="1" t="s">
        <v>15</v>
      </c>
      <c r="D30" s="1" t="s">
        <v>16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  <c r="O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0</v>
      </c>
      <c r="T30">
        <f t="shared" si="5"/>
        <v>0</v>
      </c>
    </row>
    <row r="31" spans="1:20">
      <c r="A31" s="1" t="s">
        <v>29</v>
      </c>
      <c r="B31" s="3">
        <v>45689</v>
      </c>
      <c r="C31" s="1" t="s">
        <v>15</v>
      </c>
      <c r="D31" s="1" t="s">
        <v>16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  <c r="O31">
        <f t="shared" si="0"/>
        <v>0</v>
      </c>
      <c r="P31">
        <f t="shared" si="1"/>
        <v>0</v>
      </c>
      <c r="Q31">
        <f t="shared" si="2"/>
        <v>0</v>
      </c>
      <c r="R31">
        <f t="shared" si="3"/>
        <v>0</v>
      </c>
      <c r="S31">
        <f t="shared" si="4"/>
        <v>0</v>
      </c>
      <c r="T31">
        <f t="shared" si="5"/>
        <v>0</v>
      </c>
    </row>
    <row r="32" spans="1:20">
      <c r="A32" s="1" t="s">
        <v>29</v>
      </c>
      <c r="B32" s="3">
        <v>45717</v>
      </c>
      <c r="C32" s="1" t="s">
        <v>15</v>
      </c>
      <c r="D32" s="1" t="s">
        <v>16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  <c r="O32">
        <f t="shared" si="0"/>
        <v>0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0</v>
      </c>
      <c r="T32">
        <f t="shared" si="5"/>
        <v>0</v>
      </c>
    </row>
    <row r="33" spans="1:20">
      <c r="A33" s="1" t="s">
        <v>29</v>
      </c>
      <c r="B33" s="3">
        <v>45748</v>
      </c>
      <c r="C33" s="1" t="s">
        <v>15</v>
      </c>
      <c r="D33" s="1" t="s">
        <v>16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  <c r="O33">
        <f t="shared" si="0"/>
        <v>0</v>
      </c>
      <c r="P33">
        <f t="shared" si="1"/>
        <v>0</v>
      </c>
      <c r="Q33">
        <f t="shared" si="2"/>
        <v>0</v>
      </c>
      <c r="R33">
        <f t="shared" si="3"/>
        <v>0</v>
      </c>
      <c r="S33">
        <f t="shared" si="4"/>
        <v>0</v>
      </c>
      <c r="T33">
        <f t="shared" si="5"/>
        <v>0</v>
      </c>
    </row>
    <row r="34" spans="1:20">
      <c r="A34" s="1" t="s">
        <v>30</v>
      </c>
      <c r="B34" s="3">
        <v>45658</v>
      </c>
      <c r="C34" s="1" t="s">
        <v>20</v>
      </c>
      <c r="D34" s="1" t="s">
        <v>16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  <c r="O34">
        <f t="shared" si="0"/>
        <v>1</v>
      </c>
      <c r="P34">
        <f t="shared" si="1"/>
        <v>0</v>
      </c>
      <c r="Q34">
        <f t="shared" si="2"/>
        <v>0</v>
      </c>
      <c r="R34">
        <f t="shared" si="3"/>
        <v>0</v>
      </c>
      <c r="S34">
        <f t="shared" si="4"/>
        <v>0</v>
      </c>
      <c r="T34">
        <f t="shared" si="5"/>
        <v>0</v>
      </c>
    </row>
    <row r="35" spans="1:20">
      <c r="A35" s="1" t="s">
        <v>30</v>
      </c>
      <c r="B35" s="3">
        <v>45689</v>
      </c>
      <c r="C35" s="1" t="s">
        <v>20</v>
      </c>
      <c r="D35" s="1" t="s">
        <v>16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>
        <v>3.92</v>
      </c>
      <c r="M35" s="1">
        <v>799477.76000000001</v>
      </c>
      <c r="N35" s="1">
        <v>164974.41</v>
      </c>
      <c r="O35">
        <f t="shared" si="0"/>
        <v>1</v>
      </c>
      <c r="P35">
        <f t="shared" si="1"/>
        <v>0</v>
      </c>
      <c r="Q35">
        <f t="shared" si="2"/>
        <v>0</v>
      </c>
      <c r="R35">
        <f t="shared" si="3"/>
        <v>0</v>
      </c>
      <c r="S35">
        <f t="shared" si="4"/>
        <v>0</v>
      </c>
      <c r="T35">
        <f t="shared" si="5"/>
        <v>0</v>
      </c>
    </row>
    <row r="36" spans="1:20">
      <c r="A36" s="1" t="s">
        <v>30</v>
      </c>
      <c r="B36" s="3">
        <v>45717</v>
      </c>
      <c r="C36" s="1" t="s">
        <v>20</v>
      </c>
      <c r="D36" s="1" t="s">
        <v>16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  <c r="O36">
        <f t="shared" si="0"/>
        <v>1</v>
      </c>
      <c r="P36">
        <f t="shared" si="1"/>
        <v>0</v>
      </c>
      <c r="Q36">
        <f t="shared" si="2"/>
        <v>0</v>
      </c>
      <c r="R36">
        <f t="shared" si="3"/>
        <v>0</v>
      </c>
      <c r="S36">
        <f t="shared" si="4"/>
        <v>0</v>
      </c>
      <c r="T36">
        <f t="shared" si="5"/>
        <v>0</v>
      </c>
    </row>
    <row r="37" spans="1:20">
      <c r="A37" s="1" t="s">
        <v>30</v>
      </c>
      <c r="B37" s="3">
        <v>45748</v>
      </c>
      <c r="C37" s="1" t="s">
        <v>20</v>
      </c>
      <c r="D37" s="1" t="s">
        <v>16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  <c r="O37">
        <f t="shared" si="0"/>
        <v>1</v>
      </c>
      <c r="P37">
        <f t="shared" si="1"/>
        <v>0</v>
      </c>
      <c r="Q37">
        <f t="shared" si="2"/>
        <v>0</v>
      </c>
      <c r="R37">
        <f t="shared" si="3"/>
        <v>0</v>
      </c>
      <c r="S37">
        <f t="shared" si="4"/>
        <v>0</v>
      </c>
      <c r="T37">
        <f t="shared" si="5"/>
        <v>0</v>
      </c>
    </row>
    <row r="38" spans="1:20">
      <c r="A38" s="1" t="s">
        <v>31</v>
      </c>
      <c r="B38" s="3">
        <v>45658</v>
      </c>
      <c r="C38" s="1" t="s">
        <v>20</v>
      </c>
      <c r="D38" s="1" t="s">
        <v>28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  <c r="O38">
        <f t="shared" si="0"/>
        <v>1</v>
      </c>
      <c r="P38">
        <f t="shared" si="1"/>
        <v>0</v>
      </c>
      <c r="Q38">
        <f t="shared" si="2"/>
        <v>0</v>
      </c>
      <c r="R38">
        <f t="shared" si="3"/>
        <v>0</v>
      </c>
      <c r="S38">
        <f t="shared" si="4"/>
        <v>0</v>
      </c>
      <c r="T38">
        <f t="shared" si="5"/>
        <v>1</v>
      </c>
    </row>
    <row r="39" spans="1:20">
      <c r="A39" s="1" t="s">
        <v>31</v>
      </c>
      <c r="B39" s="3">
        <v>45689</v>
      </c>
      <c r="C39" s="1" t="s">
        <v>20</v>
      </c>
      <c r="D39" s="1" t="s">
        <v>28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  <c r="O39">
        <f t="shared" si="0"/>
        <v>1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0</v>
      </c>
      <c r="T39">
        <f t="shared" si="5"/>
        <v>1</v>
      </c>
    </row>
    <row r="40" spans="1:20">
      <c r="A40" s="1" t="s">
        <v>31</v>
      </c>
      <c r="B40" s="3">
        <v>45717</v>
      </c>
      <c r="C40" s="1" t="s">
        <v>20</v>
      </c>
      <c r="D40" s="1" t="s">
        <v>28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  <c r="O40">
        <f t="shared" si="0"/>
        <v>1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0</v>
      </c>
      <c r="T40">
        <f t="shared" si="5"/>
        <v>1</v>
      </c>
    </row>
    <row r="41" spans="1:20">
      <c r="A41" s="1" t="s">
        <v>31</v>
      </c>
      <c r="B41" s="3">
        <v>45748</v>
      </c>
      <c r="C41" s="1" t="s">
        <v>20</v>
      </c>
      <c r="D41" s="1" t="s">
        <v>28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  <c r="O41">
        <f t="shared" si="0"/>
        <v>1</v>
      </c>
      <c r="P41">
        <f t="shared" si="1"/>
        <v>0</v>
      </c>
      <c r="Q41">
        <f t="shared" si="2"/>
        <v>0</v>
      </c>
      <c r="R41">
        <f t="shared" si="3"/>
        <v>0</v>
      </c>
      <c r="S41">
        <f t="shared" si="4"/>
        <v>0</v>
      </c>
      <c r="T41">
        <f t="shared" si="5"/>
        <v>1</v>
      </c>
    </row>
    <row r="42" spans="1:20">
      <c r="A42" s="1" t="s">
        <v>32</v>
      </c>
      <c r="B42" s="3">
        <v>45658</v>
      </c>
      <c r="C42" s="1" t="s">
        <v>15</v>
      </c>
      <c r="D42" s="1" t="s">
        <v>28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  <c r="O42">
        <f t="shared" si="0"/>
        <v>0</v>
      </c>
      <c r="P42">
        <f t="shared" si="1"/>
        <v>0</v>
      </c>
      <c r="Q42">
        <f t="shared" si="2"/>
        <v>0</v>
      </c>
      <c r="R42">
        <f t="shared" si="3"/>
        <v>0</v>
      </c>
      <c r="S42">
        <f t="shared" si="4"/>
        <v>0</v>
      </c>
      <c r="T42">
        <f t="shared" si="5"/>
        <v>1</v>
      </c>
    </row>
    <row r="43" spans="1:20">
      <c r="A43" s="1" t="s">
        <v>32</v>
      </c>
      <c r="B43" s="3">
        <v>45689</v>
      </c>
      <c r="C43" s="1" t="s">
        <v>15</v>
      </c>
      <c r="D43" s="1" t="s">
        <v>28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  <c r="O43">
        <f t="shared" si="0"/>
        <v>0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0</v>
      </c>
      <c r="T43">
        <f t="shared" si="5"/>
        <v>1</v>
      </c>
    </row>
    <row r="44" spans="1:20">
      <c r="A44" s="1" t="s">
        <v>32</v>
      </c>
      <c r="B44" s="3">
        <v>45717</v>
      </c>
      <c r="C44" s="1" t="s">
        <v>15</v>
      </c>
      <c r="D44" s="1" t="s">
        <v>28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  <c r="O44">
        <f t="shared" si="0"/>
        <v>0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0</v>
      </c>
      <c r="T44">
        <f t="shared" si="5"/>
        <v>1</v>
      </c>
    </row>
    <row r="45" spans="1:20">
      <c r="A45" s="1" t="s">
        <v>32</v>
      </c>
      <c r="B45" s="3">
        <v>45748</v>
      </c>
      <c r="C45" s="1" t="s">
        <v>15</v>
      </c>
      <c r="D45" s="1" t="s">
        <v>28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  <c r="O45">
        <f t="shared" si="0"/>
        <v>0</v>
      </c>
      <c r="P45">
        <f t="shared" si="1"/>
        <v>0</v>
      </c>
      <c r="Q45">
        <f t="shared" si="2"/>
        <v>0</v>
      </c>
      <c r="R45">
        <f t="shared" si="3"/>
        <v>0</v>
      </c>
      <c r="S45">
        <f t="shared" si="4"/>
        <v>0</v>
      </c>
      <c r="T45">
        <f t="shared" si="5"/>
        <v>1</v>
      </c>
    </row>
    <row r="46" spans="1:20">
      <c r="A46" s="1" t="s">
        <v>33</v>
      </c>
      <c r="B46" s="3">
        <v>45658</v>
      </c>
      <c r="C46" s="1" t="s">
        <v>27</v>
      </c>
      <c r="D46" s="1" t="s">
        <v>16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  <c r="O46">
        <f t="shared" si="0"/>
        <v>0</v>
      </c>
      <c r="P46">
        <f t="shared" si="1"/>
        <v>0</v>
      </c>
      <c r="Q46">
        <f t="shared" si="2"/>
        <v>1</v>
      </c>
      <c r="R46">
        <f t="shared" si="3"/>
        <v>0</v>
      </c>
      <c r="S46">
        <f t="shared" si="4"/>
        <v>0</v>
      </c>
      <c r="T46">
        <f t="shared" si="5"/>
        <v>0</v>
      </c>
    </row>
    <row r="47" spans="1:20">
      <c r="A47" s="1" t="s">
        <v>33</v>
      </c>
      <c r="B47" s="3">
        <v>45689</v>
      </c>
      <c r="C47" s="1" t="s">
        <v>27</v>
      </c>
      <c r="D47" s="1" t="s">
        <v>16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  <c r="O47">
        <f t="shared" si="0"/>
        <v>0</v>
      </c>
      <c r="P47">
        <f t="shared" si="1"/>
        <v>0</v>
      </c>
      <c r="Q47">
        <f t="shared" si="2"/>
        <v>1</v>
      </c>
      <c r="R47">
        <f t="shared" si="3"/>
        <v>0</v>
      </c>
      <c r="S47">
        <f t="shared" si="4"/>
        <v>0</v>
      </c>
      <c r="T47">
        <f t="shared" si="5"/>
        <v>0</v>
      </c>
    </row>
    <row r="48" spans="1:20">
      <c r="A48" s="1" t="s">
        <v>33</v>
      </c>
      <c r="B48" s="3">
        <v>45717</v>
      </c>
      <c r="C48" s="1" t="s">
        <v>27</v>
      </c>
      <c r="D48" s="1" t="s">
        <v>16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  <c r="O48">
        <f t="shared" si="0"/>
        <v>0</v>
      </c>
      <c r="P48">
        <f t="shared" si="1"/>
        <v>0</v>
      </c>
      <c r="Q48">
        <f t="shared" si="2"/>
        <v>1</v>
      </c>
      <c r="R48">
        <f t="shared" si="3"/>
        <v>0</v>
      </c>
      <c r="S48">
        <f t="shared" si="4"/>
        <v>0</v>
      </c>
      <c r="T48">
        <f t="shared" si="5"/>
        <v>0</v>
      </c>
    </row>
    <row r="49" spans="1:20">
      <c r="A49" s="1" t="s">
        <v>33</v>
      </c>
      <c r="B49" s="3">
        <v>45748</v>
      </c>
      <c r="C49" s="1" t="s">
        <v>27</v>
      </c>
      <c r="D49" s="1" t="s">
        <v>16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  <c r="O49">
        <f t="shared" si="0"/>
        <v>0</v>
      </c>
      <c r="P49">
        <f t="shared" si="1"/>
        <v>0</v>
      </c>
      <c r="Q49">
        <f t="shared" si="2"/>
        <v>1</v>
      </c>
      <c r="R49">
        <f t="shared" si="3"/>
        <v>0</v>
      </c>
      <c r="S49">
        <f t="shared" si="4"/>
        <v>0</v>
      </c>
      <c r="T49">
        <f t="shared" si="5"/>
        <v>0</v>
      </c>
    </row>
    <row r="50" spans="1:20">
      <c r="A50" s="1" t="s">
        <v>34</v>
      </c>
      <c r="B50" s="3">
        <v>45658</v>
      </c>
      <c r="C50" s="1" t="s">
        <v>20</v>
      </c>
      <c r="D50" s="1" t="s">
        <v>28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  <c r="O50">
        <f t="shared" si="0"/>
        <v>1</v>
      </c>
      <c r="P50">
        <f t="shared" si="1"/>
        <v>0</v>
      </c>
      <c r="Q50">
        <f t="shared" si="2"/>
        <v>0</v>
      </c>
      <c r="R50">
        <f t="shared" si="3"/>
        <v>0</v>
      </c>
      <c r="S50">
        <f t="shared" si="4"/>
        <v>0</v>
      </c>
      <c r="T50">
        <f t="shared" si="5"/>
        <v>1</v>
      </c>
    </row>
    <row r="51" spans="1:20">
      <c r="A51" s="1" t="s">
        <v>34</v>
      </c>
      <c r="B51" s="3">
        <v>45689</v>
      </c>
      <c r="C51" s="1" t="s">
        <v>20</v>
      </c>
      <c r="D51" s="1" t="s">
        <v>28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  <c r="O51">
        <f t="shared" si="0"/>
        <v>1</v>
      </c>
      <c r="P51">
        <f t="shared" si="1"/>
        <v>0</v>
      </c>
      <c r="Q51">
        <f t="shared" si="2"/>
        <v>0</v>
      </c>
      <c r="R51">
        <f t="shared" si="3"/>
        <v>0</v>
      </c>
      <c r="S51">
        <f t="shared" si="4"/>
        <v>0</v>
      </c>
      <c r="T51">
        <f t="shared" si="5"/>
        <v>1</v>
      </c>
    </row>
    <row r="52" spans="1:20">
      <c r="A52" s="1" t="s">
        <v>34</v>
      </c>
      <c r="B52" s="3">
        <v>45717</v>
      </c>
      <c r="C52" s="1" t="s">
        <v>20</v>
      </c>
      <c r="D52" s="1" t="s">
        <v>28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  <c r="O52">
        <f t="shared" si="0"/>
        <v>1</v>
      </c>
      <c r="P52">
        <f t="shared" si="1"/>
        <v>0</v>
      </c>
      <c r="Q52">
        <f t="shared" si="2"/>
        <v>0</v>
      </c>
      <c r="R52">
        <f t="shared" si="3"/>
        <v>0</v>
      </c>
      <c r="S52">
        <f t="shared" si="4"/>
        <v>0</v>
      </c>
      <c r="T52">
        <f t="shared" si="5"/>
        <v>1</v>
      </c>
    </row>
    <row r="53" spans="1:20">
      <c r="A53" s="1" t="s">
        <v>34</v>
      </c>
      <c r="B53" s="3">
        <v>45748</v>
      </c>
      <c r="C53" s="1" t="s">
        <v>20</v>
      </c>
      <c r="D53" s="1" t="s">
        <v>28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  <c r="O53">
        <f t="shared" si="0"/>
        <v>1</v>
      </c>
      <c r="P53">
        <f t="shared" si="1"/>
        <v>0</v>
      </c>
      <c r="Q53">
        <f t="shared" si="2"/>
        <v>0</v>
      </c>
      <c r="R53">
        <f t="shared" si="3"/>
        <v>0</v>
      </c>
      <c r="S53">
        <f t="shared" si="4"/>
        <v>0</v>
      </c>
      <c r="T53">
        <f t="shared" si="5"/>
        <v>1</v>
      </c>
    </row>
    <row r="54" spans="1:20">
      <c r="A54" s="1" t="s">
        <v>35</v>
      </c>
      <c r="B54" s="3">
        <v>45658</v>
      </c>
      <c r="C54" s="1" t="s">
        <v>27</v>
      </c>
      <c r="D54" s="1" t="s">
        <v>18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  <c r="O54">
        <f t="shared" si="0"/>
        <v>0</v>
      </c>
      <c r="P54">
        <f t="shared" si="1"/>
        <v>0</v>
      </c>
      <c r="Q54">
        <f t="shared" si="2"/>
        <v>1</v>
      </c>
      <c r="R54">
        <f t="shared" si="3"/>
        <v>1</v>
      </c>
      <c r="S54">
        <f t="shared" si="4"/>
        <v>0</v>
      </c>
      <c r="T54">
        <f t="shared" si="5"/>
        <v>0</v>
      </c>
    </row>
    <row r="55" spans="1:20">
      <c r="A55" s="1" t="s">
        <v>35</v>
      </c>
      <c r="B55" s="3">
        <v>45689</v>
      </c>
      <c r="C55" s="1" t="s">
        <v>27</v>
      </c>
      <c r="D55" s="1" t="s">
        <v>18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  <c r="O55">
        <f t="shared" si="0"/>
        <v>0</v>
      </c>
      <c r="P55">
        <f t="shared" si="1"/>
        <v>0</v>
      </c>
      <c r="Q55">
        <f t="shared" si="2"/>
        <v>1</v>
      </c>
      <c r="R55">
        <f t="shared" si="3"/>
        <v>1</v>
      </c>
      <c r="S55">
        <f t="shared" si="4"/>
        <v>0</v>
      </c>
      <c r="T55">
        <f t="shared" si="5"/>
        <v>0</v>
      </c>
    </row>
    <row r="56" spans="1:20">
      <c r="A56" s="1" t="s">
        <v>35</v>
      </c>
      <c r="B56" s="3">
        <v>45717</v>
      </c>
      <c r="C56" s="1" t="s">
        <v>27</v>
      </c>
      <c r="D56" s="1" t="s">
        <v>18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  <c r="O56">
        <f t="shared" si="0"/>
        <v>0</v>
      </c>
      <c r="P56">
        <f t="shared" si="1"/>
        <v>0</v>
      </c>
      <c r="Q56">
        <f t="shared" si="2"/>
        <v>1</v>
      </c>
      <c r="R56">
        <f t="shared" si="3"/>
        <v>1</v>
      </c>
      <c r="S56">
        <f t="shared" si="4"/>
        <v>0</v>
      </c>
      <c r="T56">
        <f t="shared" si="5"/>
        <v>0</v>
      </c>
    </row>
    <row r="57" spans="1:20">
      <c r="A57" s="1" t="s">
        <v>35</v>
      </c>
      <c r="B57" s="3">
        <v>45748</v>
      </c>
      <c r="C57" s="1" t="s">
        <v>27</v>
      </c>
      <c r="D57" s="1" t="s">
        <v>18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  <c r="O57">
        <f t="shared" si="0"/>
        <v>0</v>
      </c>
      <c r="P57">
        <f t="shared" si="1"/>
        <v>0</v>
      </c>
      <c r="Q57">
        <f t="shared" si="2"/>
        <v>1</v>
      </c>
      <c r="R57">
        <f t="shared" si="3"/>
        <v>1</v>
      </c>
      <c r="S57">
        <f t="shared" si="4"/>
        <v>0</v>
      </c>
      <c r="T57">
        <f t="shared" si="5"/>
        <v>0</v>
      </c>
    </row>
    <row r="58" spans="1:20">
      <c r="A58" s="1" t="s">
        <v>36</v>
      </c>
      <c r="B58" s="3">
        <v>45658</v>
      </c>
      <c r="C58" s="1" t="s">
        <v>15</v>
      </c>
      <c r="D58" s="1" t="s">
        <v>21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  <c r="O58">
        <f t="shared" si="0"/>
        <v>0</v>
      </c>
      <c r="P58">
        <f t="shared" si="1"/>
        <v>0</v>
      </c>
      <c r="Q58">
        <f t="shared" si="2"/>
        <v>0</v>
      </c>
      <c r="R58">
        <f t="shared" si="3"/>
        <v>0</v>
      </c>
      <c r="S58">
        <f t="shared" si="4"/>
        <v>1</v>
      </c>
      <c r="T58">
        <f t="shared" si="5"/>
        <v>0</v>
      </c>
    </row>
    <row r="59" spans="1:20">
      <c r="A59" s="1" t="s">
        <v>36</v>
      </c>
      <c r="B59" s="3">
        <v>45689</v>
      </c>
      <c r="C59" s="1" t="s">
        <v>15</v>
      </c>
      <c r="D59" s="1" t="s">
        <v>21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  <c r="O59">
        <f t="shared" si="0"/>
        <v>0</v>
      </c>
      <c r="P59">
        <f t="shared" si="1"/>
        <v>0</v>
      </c>
      <c r="Q59">
        <f t="shared" si="2"/>
        <v>0</v>
      </c>
      <c r="R59">
        <f t="shared" si="3"/>
        <v>0</v>
      </c>
      <c r="S59">
        <f t="shared" si="4"/>
        <v>1</v>
      </c>
      <c r="T59">
        <f t="shared" si="5"/>
        <v>0</v>
      </c>
    </row>
    <row r="60" spans="1:20">
      <c r="A60" s="1" t="s">
        <v>36</v>
      </c>
      <c r="B60" s="3">
        <v>45717</v>
      </c>
      <c r="C60" s="1" t="s">
        <v>15</v>
      </c>
      <c r="D60" s="1" t="s">
        <v>21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  <c r="O60">
        <f t="shared" si="0"/>
        <v>0</v>
      </c>
      <c r="P60">
        <f t="shared" si="1"/>
        <v>0</v>
      </c>
      <c r="Q60">
        <f t="shared" si="2"/>
        <v>0</v>
      </c>
      <c r="R60">
        <f t="shared" si="3"/>
        <v>0</v>
      </c>
      <c r="S60">
        <f t="shared" si="4"/>
        <v>1</v>
      </c>
      <c r="T60">
        <f t="shared" si="5"/>
        <v>0</v>
      </c>
    </row>
    <row r="61" spans="1:20">
      <c r="A61" s="1" t="s">
        <v>36</v>
      </c>
      <c r="B61" s="3">
        <v>45748</v>
      </c>
      <c r="C61" s="1" t="s">
        <v>15</v>
      </c>
      <c r="D61" s="1" t="s">
        <v>21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  <c r="O61">
        <f t="shared" si="0"/>
        <v>0</v>
      </c>
      <c r="P61">
        <f t="shared" si="1"/>
        <v>0</v>
      </c>
      <c r="Q61">
        <f t="shared" si="2"/>
        <v>0</v>
      </c>
      <c r="R61">
        <f t="shared" si="3"/>
        <v>0</v>
      </c>
      <c r="S61">
        <f t="shared" si="4"/>
        <v>1</v>
      </c>
      <c r="T61">
        <f t="shared" si="5"/>
        <v>0</v>
      </c>
    </row>
    <row r="62" spans="1:20">
      <c r="A62" s="1" t="s">
        <v>37</v>
      </c>
      <c r="B62" s="3">
        <v>45658</v>
      </c>
      <c r="C62" s="1" t="s">
        <v>24</v>
      </c>
      <c r="D62" s="1" t="s">
        <v>18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  <c r="O62">
        <f t="shared" si="0"/>
        <v>0</v>
      </c>
      <c r="P62">
        <f t="shared" si="1"/>
        <v>1</v>
      </c>
      <c r="Q62">
        <f t="shared" si="2"/>
        <v>0</v>
      </c>
      <c r="R62">
        <f t="shared" si="3"/>
        <v>1</v>
      </c>
      <c r="S62">
        <f t="shared" si="4"/>
        <v>0</v>
      </c>
      <c r="T62">
        <f t="shared" si="5"/>
        <v>0</v>
      </c>
    </row>
    <row r="63" spans="1:20">
      <c r="A63" s="1" t="s">
        <v>37</v>
      </c>
      <c r="B63" s="3">
        <v>45689</v>
      </c>
      <c r="C63" s="1" t="s">
        <v>24</v>
      </c>
      <c r="D63" s="1" t="s">
        <v>18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  <c r="O63">
        <f t="shared" si="0"/>
        <v>0</v>
      </c>
      <c r="P63">
        <f t="shared" si="1"/>
        <v>1</v>
      </c>
      <c r="Q63">
        <f t="shared" si="2"/>
        <v>0</v>
      </c>
      <c r="R63">
        <f t="shared" si="3"/>
        <v>1</v>
      </c>
      <c r="S63">
        <f t="shared" si="4"/>
        <v>0</v>
      </c>
      <c r="T63">
        <f t="shared" si="5"/>
        <v>0</v>
      </c>
    </row>
    <row r="64" spans="1:20">
      <c r="A64" s="1" t="s">
        <v>37</v>
      </c>
      <c r="B64" s="3">
        <v>45717</v>
      </c>
      <c r="C64" s="1" t="s">
        <v>24</v>
      </c>
      <c r="D64" s="1" t="s">
        <v>18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  <c r="O64">
        <f t="shared" si="0"/>
        <v>0</v>
      </c>
      <c r="P64">
        <f t="shared" si="1"/>
        <v>1</v>
      </c>
      <c r="Q64">
        <f t="shared" si="2"/>
        <v>0</v>
      </c>
      <c r="R64">
        <f t="shared" si="3"/>
        <v>1</v>
      </c>
      <c r="S64">
        <f t="shared" si="4"/>
        <v>0</v>
      </c>
      <c r="T64">
        <f t="shared" si="5"/>
        <v>0</v>
      </c>
    </row>
    <row r="65" spans="1:20">
      <c r="A65" s="1" t="s">
        <v>37</v>
      </c>
      <c r="B65" s="3">
        <v>45748</v>
      </c>
      <c r="C65" s="1" t="s">
        <v>24</v>
      </c>
      <c r="D65" s="1" t="s">
        <v>18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  <c r="O65">
        <f t="shared" si="0"/>
        <v>0</v>
      </c>
      <c r="P65">
        <f t="shared" si="1"/>
        <v>1</v>
      </c>
      <c r="Q65">
        <f t="shared" si="2"/>
        <v>0</v>
      </c>
      <c r="R65">
        <f t="shared" si="3"/>
        <v>1</v>
      </c>
      <c r="S65">
        <f t="shared" si="4"/>
        <v>0</v>
      </c>
      <c r="T65">
        <f t="shared" si="5"/>
        <v>0</v>
      </c>
    </row>
    <row r="66" spans="1:20">
      <c r="A66" s="1" t="s">
        <v>38</v>
      </c>
      <c r="B66" s="3">
        <v>45658</v>
      </c>
      <c r="C66" s="1" t="s">
        <v>27</v>
      </c>
      <c r="D66" s="1" t="s">
        <v>18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  <c r="O66">
        <f t="shared" si="0"/>
        <v>0</v>
      </c>
      <c r="P66">
        <f t="shared" si="1"/>
        <v>0</v>
      </c>
      <c r="Q66">
        <f t="shared" si="2"/>
        <v>1</v>
      </c>
      <c r="R66">
        <f t="shared" si="3"/>
        <v>1</v>
      </c>
      <c r="S66">
        <f t="shared" si="4"/>
        <v>0</v>
      </c>
      <c r="T66">
        <f t="shared" si="5"/>
        <v>0</v>
      </c>
    </row>
    <row r="67" spans="1:20">
      <c r="A67" s="1" t="s">
        <v>38</v>
      </c>
      <c r="B67" s="3">
        <v>45689</v>
      </c>
      <c r="C67" s="1" t="s">
        <v>27</v>
      </c>
      <c r="D67" s="1" t="s">
        <v>18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  <c r="O67">
        <f t="shared" ref="O67:O130" si="6">IF(C67="North",1,0)</f>
        <v>0</v>
      </c>
      <c r="P67">
        <f t="shared" ref="P67:P130" si="7">IF(C67="South",1,0)</f>
        <v>0</v>
      </c>
      <c r="Q67">
        <f t="shared" ref="Q67:Q130" si="8">IF(C67="West",1,0)</f>
        <v>1</v>
      </c>
      <c r="R67">
        <f t="shared" ref="R67:R130" si="9">IF(D67="High Street",1,0)</f>
        <v>1</v>
      </c>
      <c r="S67">
        <f t="shared" ref="S67:S130" si="10">IF(D67="Airport",1,0)</f>
        <v>0</v>
      </c>
      <c r="T67">
        <f t="shared" ref="T67:T130" si="11">IF(D67="Mall",1,0)</f>
        <v>0</v>
      </c>
    </row>
    <row r="68" spans="1:20">
      <c r="A68" s="1" t="s">
        <v>38</v>
      </c>
      <c r="B68" s="3">
        <v>45717</v>
      </c>
      <c r="C68" s="1" t="s">
        <v>27</v>
      </c>
      <c r="D68" s="1" t="s">
        <v>18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  <c r="O68">
        <f t="shared" si="6"/>
        <v>0</v>
      </c>
      <c r="P68">
        <f t="shared" si="7"/>
        <v>0</v>
      </c>
      <c r="Q68">
        <f t="shared" si="8"/>
        <v>1</v>
      </c>
      <c r="R68">
        <f t="shared" si="9"/>
        <v>1</v>
      </c>
      <c r="S68">
        <f t="shared" si="10"/>
        <v>0</v>
      </c>
      <c r="T68">
        <f t="shared" si="11"/>
        <v>0</v>
      </c>
    </row>
    <row r="69" spans="1:20">
      <c r="A69" s="1" t="s">
        <v>38</v>
      </c>
      <c r="B69" s="3">
        <v>45748</v>
      </c>
      <c r="C69" s="1" t="s">
        <v>27</v>
      </c>
      <c r="D69" s="1" t="s">
        <v>18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  <c r="O69">
        <f t="shared" si="6"/>
        <v>0</v>
      </c>
      <c r="P69">
        <f t="shared" si="7"/>
        <v>0</v>
      </c>
      <c r="Q69">
        <f t="shared" si="8"/>
        <v>1</v>
      </c>
      <c r="R69">
        <f t="shared" si="9"/>
        <v>1</v>
      </c>
      <c r="S69">
        <f t="shared" si="10"/>
        <v>0</v>
      </c>
      <c r="T69">
        <f t="shared" si="11"/>
        <v>0</v>
      </c>
    </row>
    <row r="70" spans="1:20">
      <c r="A70" s="1" t="s">
        <v>39</v>
      </c>
      <c r="B70" s="3">
        <v>45658</v>
      </c>
      <c r="C70" s="1" t="s">
        <v>15</v>
      </c>
      <c r="D70" s="1" t="s">
        <v>18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  <c r="O70">
        <f t="shared" si="6"/>
        <v>0</v>
      </c>
      <c r="P70">
        <f t="shared" si="7"/>
        <v>0</v>
      </c>
      <c r="Q70">
        <f t="shared" si="8"/>
        <v>0</v>
      </c>
      <c r="R70">
        <f t="shared" si="9"/>
        <v>1</v>
      </c>
      <c r="S70">
        <f t="shared" si="10"/>
        <v>0</v>
      </c>
      <c r="T70">
        <f t="shared" si="11"/>
        <v>0</v>
      </c>
    </row>
    <row r="71" spans="1:20">
      <c r="A71" s="1" t="s">
        <v>39</v>
      </c>
      <c r="B71" s="3">
        <v>45689</v>
      </c>
      <c r="C71" s="1" t="s">
        <v>15</v>
      </c>
      <c r="D71" s="1" t="s">
        <v>18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  <c r="O71">
        <f t="shared" si="6"/>
        <v>0</v>
      </c>
      <c r="P71">
        <f t="shared" si="7"/>
        <v>0</v>
      </c>
      <c r="Q71">
        <f t="shared" si="8"/>
        <v>0</v>
      </c>
      <c r="R71">
        <f t="shared" si="9"/>
        <v>1</v>
      </c>
      <c r="S71">
        <f t="shared" si="10"/>
        <v>0</v>
      </c>
      <c r="T71">
        <f t="shared" si="11"/>
        <v>0</v>
      </c>
    </row>
    <row r="72" spans="1:20">
      <c r="A72" s="1" t="s">
        <v>39</v>
      </c>
      <c r="B72" s="3">
        <v>45717</v>
      </c>
      <c r="C72" s="1" t="s">
        <v>15</v>
      </c>
      <c r="D72" s="1" t="s">
        <v>18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  <c r="O72">
        <f t="shared" si="6"/>
        <v>0</v>
      </c>
      <c r="P72">
        <f t="shared" si="7"/>
        <v>0</v>
      </c>
      <c r="Q72">
        <f t="shared" si="8"/>
        <v>0</v>
      </c>
      <c r="R72">
        <f t="shared" si="9"/>
        <v>1</v>
      </c>
      <c r="S72">
        <f t="shared" si="10"/>
        <v>0</v>
      </c>
      <c r="T72">
        <f t="shared" si="11"/>
        <v>0</v>
      </c>
    </row>
    <row r="73" spans="1:20">
      <c r="A73" s="1" t="s">
        <v>39</v>
      </c>
      <c r="B73" s="3">
        <v>45748</v>
      </c>
      <c r="C73" s="1" t="s">
        <v>15</v>
      </c>
      <c r="D73" s="1" t="s">
        <v>18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>
        <v>4.5590450000000002</v>
      </c>
      <c r="K73" s="1">
        <v>0</v>
      </c>
      <c r="L73" s="1">
        <v>3.5</v>
      </c>
      <c r="M73" s="1">
        <v>674774.09</v>
      </c>
      <c r="N73" s="1">
        <v>141917.59</v>
      </c>
      <c r="O73">
        <f t="shared" si="6"/>
        <v>0</v>
      </c>
      <c r="P73">
        <f t="shared" si="7"/>
        <v>0</v>
      </c>
      <c r="Q73">
        <f t="shared" si="8"/>
        <v>0</v>
      </c>
      <c r="R73">
        <f t="shared" si="9"/>
        <v>1</v>
      </c>
      <c r="S73">
        <f t="shared" si="10"/>
        <v>0</v>
      </c>
      <c r="T73">
        <f t="shared" si="11"/>
        <v>0</v>
      </c>
    </row>
    <row r="74" spans="1:20">
      <c r="A74" s="1" t="s">
        <v>40</v>
      </c>
      <c r="B74" s="3">
        <v>45658</v>
      </c>
      <c r="C74" s="1" t="s">
        <v>15</v>
      </c>
      <c r="D74" s="1" t="s">
        <v>16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  <c r="O74">
        <f t="shared" si="6"/>
        <v>0</v>
      </c>
      <c r="P74">
        <f t="shared" si="7"/>
        <v>0</v>
      </c>
      <c r="Q74">
        <f t="shared" si="8"/>
        <v>0</v>
      </c>
      <c r="R74">
        <f t="shared" si="9"/>
        <v>0</v>
      </c>
      <c r="S74">
        <f t="shared" si="10"/>
        <v>0</v>
      </c>
      <c r="T74">
        <f t="shared" si="11"/>
        <v>0</v>
      </c>
    </row>
    <row r="75" spans="1:20">
      <c r="A75" s="1" t="s">
        <v>40</v>
      </c>
      <c r="B75" s="3">
        <v>45689</v>
      </c>
      <c r="C75" s="1" t="s">
        <v>15</v>
      </c>
      <c r="D75" s="1" t="s">
        <v>16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  <c r="O75">
        <f t="shared" si="6"/>
        <v>0</v>
      </c>
      <c r="P75">
        <f t="shared" si="7"/>
        <v>0</v>
      </c>
      <c r="Q75">
        <f t="shared" si="8"/>
        <v>0</v>
      </c>
      <c r="R75">
        <f t="shared" si="9"/>
        <v>0</v>
      </c>
      <c r="S75">
        <f t="shared" si="10"/>
        <v>0</v>
      </c>
      <c r="T75">
        <f t="shared" si="11"/>
        <v>0</v>
      </c>
    </row>
    <row r="76" spans="1:20">
      <c r="A76" s="1" t="s">
        <v>40</v>
      </c>
      <c r="B76" s="3">
        <v>45717</v>
      </c>
      <c r="C76" s="1" t="s">
        <v>15</v>
      </c>
      <c r="D76" s="1" t="s">
        <v>16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  <c r="O76">
        <f t="shared" si="6"/>
        <v>0</v>
      </c>
      <c r="P76">
        <f t="shared" si="7"/>
        <v>0</v>
      </c>
      <c r="Q76">
        <f t="shared" si="8"/>
        <v>0</v>
      </c>
      <c r="R76">
        <f t="shared" si="9"/>
        <v>0</v>
      </c>
      <c r="S76">
        <f t="shared" si="10"/>
        <v>0</v>
      </c>
      <c r="T76">
        <f t="shared" si="11"/>
        <v>0</v>
      </c>
    </row>
    <row r="77" spans="1:20">
      <c r="A77" s="1" t="s">
        <v>40</v>
      </c>
      <c r="B77" s="3">
        <v>45748</v>
      </c>
      <c r="C77" s="1" t="s">
        <v>15</v>
      </c>
      <c r="D77" s="1" t="s">
        <v>16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  <c r="O77">
        <f t="shared" si="6"/>
        <v>0</v>
      </c>
      <c r="P77">
        <f t="shared" si="7"/>
        <v>0</v>
      </c>
      <c r="Q77">
        <f t="shared" si="8"/>
        <v>0</v>
      </c>
      <c r="R77">
        <f t="shared" si="9"/>
        <v>0</v>
      </c>
      <c r="S77">
        <f t="shared" si="10"/>
        <v>0</v>
      </c>
      <c r="T77">
        <f t="shared" si="11"/>
        <v>0</v>
      </c>
    </row>
    <row r="78" spans="1:20">
      <c r="A78" s="1" t="s">
        <v>41</v>
      </c>
      <c r="B78" s="3">
        <v>45658</v>
      </c>
      <c r="C78" s="1" t="s">
        <v>24</v>
      </c>
      <c r="D78" s="1" t="s">
        <v>18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  <c r="O78">
        <f t="shared" si="6"/>
        <v>0</v>
      </c>
      <c r="P78">
        <f t="shared" si="7"/>
        <v>1</v>
      </c>
      <c r="Q78">
        <f t="shared" si="8"/>
        <v>0</v>
      </c>
      <c r="R78">
        <f t="shared" si="9"/>
        <v>1</v>
      </c>
      <c r="S78">
        <f t="shared" si="10"/>
        <v>0</v>
      </c>
      <c r="T78">
        <f t="shared" si="11"/>
        <v>0</v>
      </c>
    </row>
    <row r="79" spans="1:20">
      <c r="A79" s="1" t="s">
        <v>41</v>
      </c>
      <c r="B79" s="3">
        <v>45689</v>
      </c>
      <c r="C79" s="1" t="s">
        <v>24</v>
      </c>
      <c r="D79" s="1" t="s">
        <v>18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  <c r="O79">
        <f t="shared" si="6"/>
        <v>0</v>
      </c>
      <c r="P79">
        <f t="shared" si="7"/>
        <v>1</v>
      </c>
      <c r="Q79">
        <f t="shared" si="8"/>
        <v>0</v>
      </c>
      <c r="R79">
        <f t="shared" si="9"/>
        <v>1</v>
      </c>
      <c r="S79">
        <f t="shared" si="10"/>
        <v>0</v>
      </c>
      <c r="T79">
        <f t="shared" si="11"/>
        <v>0</v>
      </c>
    </row>
    <row r="80" spans="1:20">
      <c r="A80" s="1" t="s">
        <v>41</v>
      </c>
      <c r="B80" s="3">
        <v>45717</v>
      </c>
      <c r="C80" s="1" t="s">
        <v>24</v>
      </c>
      <c r="D80" s="1" t="s">
        <v>18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  <c r="O80">
        <f t="shared" si="6"/>
        <v>0</v>
      </c>
      <c r="P80">
        <f t="shared" si="7"/>
        <v>1</v>
      </c>
      <c r="Q80">
        <f t="shared" si="8"/>
        <v>0</v>
      </c>
      <c r="R80">
        <f t="shared" si="9"/>
        <v>1</v>
      </c>
      <c r="S80">
        <f t="shared" si="10"/>
        <v>0</v>
      </c>
      <c r="T80">
        <f t="shared" si="11"/>
        <v>0</v>
      </c>
    </row>
    <row r="81" spans="1:20">
      <c r="A81" s="1" t="s">
        <v>41</v>
      </c>
      <c r="B81" s="3">
        <v>45748</v>
      </c>
      <c r="C81" s="1" t="s">
        <v>24</v>
      </c>
      <c r="D81" s="1" t="s">
        <v>18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  <c r="O81">
        <f t="shared" si="6"/>
        <v>0</v>
      </c>
      <c r="P81">
        <f t="shared" si="7"/>
        <v>1</v>
      </c>
      <c r="Q81">
        <f t="shared" si="8"/>
        <v>0</v>
      </c>
      <c r="R81">
        <f t="shared" si="9"/>
        <v>1</v>
      </c>
      <c r="S81">
        <f t="shared" si="10"/>
        <v>0</v>
      </c>
      <c r="T81">
        <f t="shared" si="11"/>
        <v>0</v>
      </c>
    </row>
    <row r="82" spans="1:20">
      <c r="A82" s="1" t="s">
        <v>42</v>
      </c>
      <c r="B82" s="3">
        <v>45658</v>
      </c>
      <c r="C82" s="1" t="s">
        <v>27</v>
      </c>
      <c r="D82" s="1" t="s">
        <v>28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  <c r="O82">
        <f t="shared" si="6"/>
        <v>0</v>
      </c>
      <c r="P82">
        <f t="shared" si="7"/>
        <v>0</v>
      </c>
      <c r="Q82">
        <f t="shared" si="8"/>
        <v>1</v>
      </c>
      <c r="R82">
        <f t="shared" si="9"/>
        <v>0</v>
      </c>
      <c r="S82">
        <f t="shared" si="10"/>
        <v>0</v>
      </c>
      <c r="T82">
        <f t="shared" si="11"/>
        <v>1</v>
      </c>
    </row>
    <row r="83" spans="1:20">
      <c r="A83" s="1" t="s">
        <v>42</v>
      </c>
      <c r="B83" s="3">
        <v>45689</v>
      </c>
      <c r="C83" s="1" t="s">
        <v>27</v>
      </c>
      <c r="D83" s="1" t="s">
        <v>28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  <c r="O83">
        <f t="shared" si="6"/>
        <v>0</v>
      </c>
      <c r="P83">
        <f t="shared" si="7"/>
        <v>0</v>
      </c>
      <c r="Q83">
        <f t="shared" si="8"/>
        <v>1</v>
      </c>
      <c r="R83">
        <f t="shared" si="9"/>
        <v>0</v>
      </c>
      <c r="S83">
        <f t="shared" si="10"/>
        <v>0</v>
      </c>
      <c r="T83">
        <f t="shared" si="11"/>
        <v>1</v>
      </c>
    </row>
    <row r="84" spans="1:20">
      <c r="A84" s="1" t="s">
        <v>42</v>
      </c>
      <c r="B84" s="3">
        <v>45717</v>
      </c>
      <c r="C84" s="1" t="s">
        <v>27</v>
      </c>
      <c r="D84" s="1" t="s">
        <v>28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  <c r="O84">
        <f t="shared" si="6"/>
        <v>0</v>
      </c>
      <c r="P84">
        <f t="shared" si="7"/>
        <v>0</v>
      </c>
      <c r="Q84">
        <f t="shared" si="8"/>
        <v>1</v>
      </c>
      <c r="R84">
        <f t="shared" si="9"/>
        <v>0</v>
      </c>
      <c r="S84">
        <f t="shared" si="10"/>
        <v>0</v>
      </c>
      <c r="T84">
        <f t="shared" si="11"/>
        <v>1</v>
      </c>
    </row>
    <row r="85" spans="1:20">
      <c r="A85" s="1" t="s">
        <v>42</v>
      </c>
      <c r="B85" s="3">
        <v>45748</v>
      </c>
      <c r="C85" s="1" t="s">
        <v>27</v>
      </c>
      <c r="D85" s="1" t="s">
        <v>28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  <c r="O85">
        <f t="shared" si="6"/>
        <v>0</v>
      </c>
      <c r="P85">
        <f t="shared" si="7"/>
        <v>0</v>
      </c>
      <c r="Q85">
        <f t="shared" si="8"/>
        <v>1</v>
      </c>
      <c r="R85">
        <f t="shared" si="9"/>
        <v>0</v>
      </c>
      <c r="S85">
        <f t="shared" si="10"/>
        <v>0</v>
      </c>
      <c r="T85">
        <f t="shared" si="11"/>
        <v>1</v>
      </c>
    </row>
    <row r="86" spans="1:20">
      <c r="A86" s="1" t="s">
        <v>43</v>
      </c>
      <c r="B86" s="3">
        <v>45658</v>
      </c>
      <c r="C86" s="1" t="s">
        <v>27</v>
      </c>
      <c r="D86" s="1" t="s">
        <v>18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  <c r="O86">
        <f t="shared" si="6"/>
        <v>0</v>
      </c>
      <c r="P86">
        <f t="shared" si="7"/>
        <v>0</v>
      </c>
      <c r="Q86">
        <f t="shared" si="8"/>
        <v>1</v>
      </c>
      <c r="R86">
        <f t="shared" si="9"/>
        <v>1</v>
      </c>
      <c r="S86">
        <f t="shared" si="10"/>
        <v>0</v>
      </c>
      <c r="T86">
        <f t="shared" si="11"/>
        <v>0</v>
      </c>
    </row>
    <row r="87" spans="1:20">
      <c r="A87" s="1" t="s">
        <v>43</v>
      </c>
      <c r="B87" s="3">
        <v>45689</v>
      </c>
      <c r="C87" s="1" t="s">
        <v>27</v>
      </c>
      <c r="D87" s="1" t="s">
        <v>18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>
        <v>3.92</v>
      </c>
      <c r="M87" s="1">
        <v>611766.72</v>
      </c>
      <c r="N87" s="1">
        <v>88275.61</v>
      </c>
      <c r="O87">
        <f t="shared" si="6"/>
        <v>0</v>
      </c>
      <c r="P87">
        <f t="shared" si="7"/>
        <v>0</v>
      </c>
      <c r="Q87">
        <f t="shared" si="8"/>
        <v>1</v>
      </c>
      <c r="R87">
        <f t="shared" si="9"/>
        <v>1</v>
      </c>
      <c r="S87">
        <f t="shared" si="10"/>
        <v>0</v>
      </c>
      <c r="T87">
        <f t="shared" si="11"/>
        <v>0</v>
      </c>
    </row>
    <row r="88" spans="1:20">
      <c r="A88" s="1" t="s">
        <v>43</v>
      </c>
      <c r="B88" s="3">
        <v>45717</v>
      </c>
      <c r="C88" s="1" t="s">
        <v>27</v>
      </c>
      <c r="D88" s="1" t="s">
        <v>18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  <c r="O88">
        <f t="shared" si="6"/>
        <v>0</v>
      </c>
      <c r="P88">
        <f t="shared" si="7"/>
        <v>0</v>
      </c>
      <c r="Q88">
        <f t="shared" si="8"/>
        <v>1</v>
      </c>
      <c r="R88">
        <f t="shared" si="9"/>
        <v>1</v>
      </c>
      <c r="S88">
        <f t="shared" si="10"/>
        <v>0</v>
      </c>
      <c r="T88">
        <f t="shared" si="11"/>
        <v>0</v>
      </c>
    </row>
    <row r="89" spans="1:20">
      <c r="A89" s="1" t="s">
        <v>43</v>
      </c>
      <c r="B89" s="3">
        <v>45748</v>
      </c>
      <c r="C89" s="1" t="s">
        <v>27</v>
      </c>
      <c r="D89" s="1" t="s">
        <v>18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  <c r="O89">
        <f t="shared" si="6"/>
        <v>0</v>
      </c>
      <c r="P89">
        <f t="shared" si="7"/>
        <v>0</v>
      </c>
      <c r="Q89">
        <f t="shared" si="8"/>
        <v>1</v>
      </c>
      <c r="R89">
        <f t="shared" si="9"/>
        <v>1</v>
      </c>
      <c r="S89">
        <f t="shared" si="10"/>
        <v>0</v>
      </c>
      <c r="T89">
        <f t="shared" si="11"/>
        <v>0</v>
      </c>
    </row>
    <row r="90" spans="1:20">
      <c r="A90" s="1" t="s">
        <v>44</v>
      </c>
      <c r="B90" s="3">
        <v>45658</v>
      </c>
      <c r="C90" s="1" t="s">
        <v>24</v>
      </c>
      <c r="D90" s="1" t="s">
        <v>28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  <c r="O90">
        <f t="shared" si="6"/>
        <v>0</v>
      </c>
      <c r="P90">
        <f t="shared" si="7"/>
        <v>1</v>
      </c>
      <c r="Q90">
        <f t="shared" si="8"/>
        <v>0</v>
      </c>
      <c r="R90">
        <f t="shared" si="9"/>
        <v>0</v>
      </c>
      <c r="S90">
        <f t="shared" si="10"/>
        <v>0</v>
      </c>
      <c r="T90">
        <f t="shared" si="11"/>
        <v>1</v>
      </c>
    </row>
    <row r="91" spans="1:20">
      <c r="A91" s="1" t="s">
        <v>44</v>
      </c>
      <c r="B91" s="3">
        <v>45689</v>
      </c>
      <c r="C91" s="1" t="s">
        <v>24</v>
      </c>
      <c r="D91" s="1" t="s">
        <v>28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  <c r="O91">
        <f t="shared" si="6"/>
        <v>0</v>
      </c>
      <c r="P91">
        <f t="shared" si="7"/>
        <v>1</v>
      </c>
      <c r="Q91">
        <f t="shared" si="8"/>
        <v>0</v>
      </c>
      <c r="R91">
        <f t="shared" si="9"/>
        <v>0</v>
      </c>
      <c r="S91">
        <f t="shared" si="10"/>
        <v>0</v>
      </c>
      <c r="T91">
        <f t="shared" si="11"/>
        <v>1</v>
      </c>
    </row>
    <row r="92" spans="1:20">
      <c r="A92" s="1" t="s">
        <v>44</v>
      </c>
      <c r="B92" s="3">
        <v>45717</v>
      </c>
      <c r="C92" s="1" t="s">
        <v>24</v>
      </c>
      <c r="D92" s="1" t="s">
        <v>28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  <c r="O92">
        <f t="shared" si="6"/>
        <v>0</v>
      </c>
      <c r="P92">
        <f t="shared" si="7"/>
        <v>1</v>
      </c>
      <c r="Q92">
        <f t="shared" si="8"/>
        <v>0</v>
      </c>
      <c r="R92">
        <f t="shared" si="9"/>
        <v>0</v>
      </c>
      <c r="S92">
        <f t="shared" si="10"/>
        <v>0</v>
      </c>
      <c r="T92">
        <f t="shared" si="11"/>
        <v>1</v>
      </c>
    </row>
    <row r="93" spans="1:20">
      <c r="A93" s="1" t="s">
        <v>44</v>
      </c>
      <c r="B93" s="3">
        <v>45748</v>
      </c>
      <c r="C93" s="1" t="s">
        <v>24</v>
      </c>
      <c r="D93" s="1" t="s">
        <v>28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  <c r="O93">
        <f t="shared" si="6"/>
        <v>0</v>
      </c>
      <c r="P93">
        <f t="shared" si="7"/>
        <v>1</v>
      </c>
      <c r="Q93">
        <f t="shared" si="8"/>
        <v>0</v>
      </c>
      <c r="R93">
        <f t="shared" si="9"/>
        <v>0</v>
      </c>
      <c r="S93">
        <f t="shared" si="10"/>
        <v>0</v>
      </c>
      <c r="T93">
        <f t="shared" si="11"/>
        <v>1</v>
      </c>
    </row>
    <row r="94" spans="1:20">
      <c r="A94" s="1" t="s">
        <v>45</v>
      </c>
      <c r="B94" s="3">
        <v>45658</v>
      </c>
      <c r="C94" s="1" t="s">
        <v>27</v>
      </c>
      <c r="D94" s="1" t="s">
        <v>16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  <c r="O94">
        <f t="shared" si="6"/>
        <v>0</v>
      </c>
      <c r="P94">
        <f t="shared" si="7"/>
        <v>0</v>
      </c>
      <c r="Q94">
        <f t="shared" si="8"/>
        <v>1</v>
      </c>
      <c r="R94">
        <f t="shared" si="9"/>
        <v>0</v>
      </c>
      <c r="S94">
        <f t="shared" si="10"/>
        <v>0</v>
      </c>
      <c r="T94">
        <f t="shared" si="11"/>
        <v>0</v>
      </c>
    </row>
    <row r="95" spans="1:20">
      <c r="A95" s="1" t="s">
        <v>45</v>
      </c>
      <c r="B95" s="3">
        <v>45689</v>
      </c>
      <c r="C95" s="1" t="s">
        <v>27</v>
      </c>
      <c r="D95" s="1" t="s">
        <v>16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  <c r="O95">
        <f t="shared" si="6"/>
        <v>0</v>
      </c>
      <c r="P95">
        <f t="shared" si="7"/>
        <v>0</v>
      </c>
      <c r="Q95">
        <f t="shared" si="8"/>
        <v>1</v>
      </c>
      <c r="R95">
        <f t="shared" si="9"/>
        <v>0</v>
      </c>
      <c r="S95">
        <f t="shared" si="10"/>
        <v>0</v>
      </c>
      <c r="T95">
        <f t="shared" si="11"/>
        <v>0</v>
      </c>
    </row>
    <row r="96" spans="1:20">
      <c r="A96" s="1" t="s">
        <v>45</v>
      </c>
      <c r="B96" s="3">
        <v>45717</v>
      </c>
      <c r="C96" s="1" t="s">
        <v>27</v>
      </c>
      <c r="D96" s="1" t="s">
        <v>16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  <c r="O96">
        <f t="shared" si="6"/>
        <v>0</v>
      </c>
      <c r="P96">
        <f t="shared" si="7"/>
        <v>0</v>
      </c>
      <c r="Q96">
        <f t="shared" si="8"/>
        <v>1</v>
      </c>
      <c r="R96">
        <f t="shared" si="9"/>
        <v>0</v>
      </c>
      <c r="S96">
        <f t="shared" si="10"/>
        <v>0</v>
      </c>
      <c r="T96">
        <f t="shared" si="11"/>
        <v>0</v>
      </c>
    </row>
    <row r="97" spans="1:20">
      <c r="A97" s="1" t="s">
        <v>45</v>
      </c>
      <c r="B97" s="3">
        <v>45748</v>
      </c>
      <c r="C97" s="1" t="s">
        <v>27</v>
      </c>
      <c r="D97" s="1" t="s">
        <v>16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  <c r="O97">
        <f t="shared" si="6"/>
        <v>0</v>
      </c>
      <c r="P97">
        <f t="shared" si="7"/>
        <v>0</v>
      </c>
      <c r="Q97">
        <f t="shared" si="8"/>
        <v>1</v>
      </c>
      <c r="R97">
        <f t="shared" si="9"/>
        <v>0</v>
      </c>
      <c r="S97">
        <f t="shared" si="10"/>
        <v>0</v>
      </c>
      <c r="T97">
        <f t="shared" si="11"/>
        <v>0</v>
      </c>
    </row>
    <row r="98" spans="1:20">
      <c r="A98" s="1" t="s">
        <v>46</v>
      </c>
      <c r="B98" s="3">
        <v>45658</v>
      </c>
      <c r="C98" s="1" t="s">
        <v>27</v>
      </c>
      <c r="D98" s="1" t="s">
        <v>28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  <c r="O98">
        <f t="shared" si="6"/>
        <v>0</v>
      </c>
      <c r="P98">
        <f t="shared" si="7"/>
        <v>0</v>
      </c>
      <c r="Q98">
        <f t="shared" si="8"/>
        <v>1</v>
      </c>
      <c r="R98">
        <f t="shared" si="9"/>
        <v>0</v>
      </c>
      <c r="S98">
        <f t="shared" si="10"/>
        <v>0</v>
      </c>
      <c r="T98">
        <f t="shared" si="11"/>
        <v>1</v>
      </c>
    </row>
    <row r="99" spans="1:20">
      <c r="A99" s="1" t="s">
        <v>46</v>
      </c>
      <c r="B99" s="3">
        <v>45689</v>
      </c>
      <c r="C99" s="1" t="s">
        <v>27</v>
      </c>
      <c r="D99" s="1" t="s">
        <v>28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  <c r="O99">
        <f t="shared" si="6"/>
        <v>0</v>
      </c>
      <c r="P99">
        <f t="shared" si="7"/>
        <v>0</v>
      </c>
      <c r="Q99">
        <f t="shared" si="8"/>
        <v>1</v>
      </c>
      <c r="R99">
        <f t="shared" si="9"/>
        <v>0</v>
      </c>
      <c r="S99">
        <f t="shared" si="10"/>
        <v>0</v>
      </c>
      <c r="T99">
        <f t="shared" si="11"/>
        <v>1</v>
      </c>
    </row>
    <row r="100" spans="1:20">
      <c r="A100" s="1" t="s">
        <v>46</v>
      </c>
      <c r="B100" s="3">
        <v>45717</v>
      </c>
      <c r="C100" s="1" t="s">
        <v>27</v>
      </c>
      <c r="D100" s="1" t="s">
        <v>28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>
        <v>4.5590450000000002</v>
      </c>
      <c r="K100" s="1">
        <v>0</v>
      </c>
      <c r="L100" s="1">
        <v>4.3</v>
      </c>
      <c r="M100" s="1">
        <v>605775.32999999996</v>
      </c>
      <c r="N100" s="1">
        <v>107194.6</v>
      </c>
      <c r="O100">
        <f t="shared" si="6"/>
        <v>0</v>
      </c>
      <c r="P100">
        <f t="shared" si="7"/>
        <v>0</v>
      </c>
      <c r="Q100">
        <f t="shared" si="8"/>
        <v>1</v>
      </c>
      <c r="R100">
        <f t="shared" si="9"/>
        <v>0</v>
      </c>
      <c r="S100">
        <f t="shared" si="10"/>
        <v>0</v>
      </c>
      <c r="T100">
        <f t="shared" si="11"/>
        <v>1</v>
      </c>
    </row>
    <row r="101" spans="1:20">
      <c r="A101" s="1" t="s">
        <v>46</v>
      </c>
      <c r="B101" s="3">
        <v>45748</v>
      </c>
      <c r="C101" s="1" t="s">
        <v>27</v>
      </c>
      <c r="D101" s="1" t="s">
        <v>28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  <c r="O101">
        <f t="shared" si="6"/>
        <v>0</v>
      </c>
      <c r="P101">
        <f t="shared" si="7"/>
        <v>0</v>
      </c>
      <c r="Q101">
        <f t="shared" si="8"/>
        <v>1</v>
      </c>
      <c r="R101">
        <f t="shared" si="9"/>
        <v>0</v>
      </c>
      <c r="S101">
        <f t="shared" si="10"/>
        <v>0</v>
      </c>
      <c r="T101">
        <f t="shared" si="11"/>
        <v>1</v>
      </c>
    </row>
    <row r="102" spans="1:20">
      <c r="A102" s="1" t="s">
        <v>47</v>
      </c>
      <c r="B102" s="3">
        <v>45658</v>
      </c>
      <c r="C102" s="1" t="s">
        <v>15</v>
      </c>
      <c r="D102" s="1" t="s">
        <v>28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  <c r="O102">
        <f t="shared" si="6"/>
        <v>0</v>
      </c>
      <c r="P102">
        <f t="shared" si="7"/>
        <v>0</v>
      </c>
      <c r="Q102">
        <f t="shared" si="8"/>
        <v>0</v>
      </c>
      <c r="R102">
        <f t="shared" si="9"/>
        <v>0</v>
      </c>
      <c r="S102">
        <f t="shared" si="10"/>
        <v>0</v>
      </c>
      <c r="T102">
        <f t="shared" si="11"/>
        <v>1</v>
      </c>
    </row>
    <row r="103" spans="1:20">
      <c r="A103" s="1" t="s">
        <v>47</v>
      </c>
      <c r="B103" s="3">
        <v>45689</v>
      </c>
      <c r="C103" s="1" t="s">
        <v>15</v>
      </c>
      <c r="D103" s="1" t="s">
        <v>28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  <c r="O103">
        <f t="shared" si="6"/>
        <v>0</v>
      </c>
      <c r="P103">
        <f t="shared" si="7"/>
        <v>0</v>
      </c>
      <c r="Q103">
        <f t="shared" si="8"/>
        <v>0</v>
      </c>
      <c r="R103">
        <f t="shared" si="9"/>
        <v>0</v>
      </c>
      <c r="S103">
        <f t="shared" si="10"/>
        <v>0</v>
      </c>
      <c r="T103">
        <f t="shared" si="11"/>
        <v>1</v>
      </c>
    </row>
    <row r="104" spans="1:20">
      <c r="A104" s="1" t="s">
        <v>47</v>
      </c>
      <c r="B104" s="3">
        <v>45717</v>
      </c>
      <c r="C104" s="1" t="s">
        <v>15</v>
      </c>
      <c r="D104" s="1" t="s">
        <v>28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  <c r="O104">
        <f t="shared" si="6"/>
        <v>0</v>
      </c>
      <c r="P104">
        <f t="shared" si="7"/>
        <v>0</v>
      </c>
      <c r="Q104">
        <f t="shared" si="8"/>
        <v>0</v>
      </c>
      <c r="R104">
        <f t="shared" si="9"/>
        <v>0</v>
      </c>
      <c r="S104">
        <f t="shared" si="10"/>
        <v>0</v>
      </c>
      <c r="T104">
        <f t="shared" si="11"/>
        <v>1</v>
      </c>
    </row>
    <row r="105" spans="1:20">
      <c r="A105" s="1" t="s">
        <v>47</v>
      </c>
      <c r="B105" s="3">
        <v>45748</v>
      </c>
      <c r="C105" s="1" t="s">
        <v>15</v>
      </c>
      <c r="D105" s="1" t="s">
        <v>28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  <c r="O105">
        <f t="shared" si="6"/>
        <v>0</v>
      </c>
      <c r="P105">
        <f t="shared" si="7"/>
        <v>0</v>
      </c>
      <c r="Q105">
        <f t="shared" si="8"/>
        <v>0</v>
      </c>
      <c r="R105">
        <f t="shared" si="9"/>
        <v>0</v>
      </c>
      <c r="S105">
        <f t="shared" si="10"/>
        <v>0</v>
      </c>
      <c r="T105">
        <f t="shared" si="11"/>
        <v>1</v>
      </c>
    </row>
    <row r="106" spans="1:20">
      <c r="A106" s="1" t="s">
        <v>48</v>
      </c>
      <c r="B106" s="3">
        <v>45658</v>
      </c>
      <c r="C106" s="1" t="s">
        <v>27</v>
      </c>
      <c r="D106" s="1" t="s">
        <v>18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  <c r="O106">
        <f t="shared" si="6"/>
        <v>0</v>
      </c>
      <c r="P106">
        <f t="shared" si="7"/>
        <v>0</v>
      </c>
      <c r="Q106">
        <f t="shared" si="8"/>
        <v>1</v>
      </c>
      <c r="R106">
        <f t="shared" si="9"/>
        <v>1</v>
      </c>
      <c r="S106">
        <f t="shared" si="10"/>
        <v>0</v>
      </c>
      <c r="T106">
        <f t="shared" si="11"/>
        <v>0</v>
      </c>
    </row>
    <row r="107" spans="1:20">
      <c r="A107" s="1" t="s">
        <v>48</v>
      </c>
      <c r="B107" s="3">
        <v>45689</v>
      </c>
      <c r="C107" s="1" t="s">
        <v>27</v>
      </c>
      <c r="D107" s="1" t="s">
        <v>18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  <c r="O107">
        <f t="shared" si="6"/>
        <v>0</v>
      </c>
      <c r="P107">
        <f t="shared" si="7"/>
        <v>0</v>
      </c>
      <c r="Q107">
        <f t="shared" si="8"/>
        <v>1</v>
      </c>
      <c r="R107">
        <f t="shared" si="9"/>
        <v>1</v>
      </c>
      <c r="S107">
        <f t="shared" si="10"/>
        <v>0</v>
      </c>
      <c r="T107">
        <f t="shared" si="11"/>
        <v>0</v>
      </c>
    </row>
    <row r="108" spans="1:20">
      <c r="A108" s="1" t="s">
        <v>48</v>
      </c>
      <c r="B108" s="3">
        <v>45717</v>
      </c>
      <c r="C108" s="1" t="s">
        <v>27</v>
      </c>
      <c r="D108" s="1" t="s">
        <v>18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  <c r="O108">
        <f t="shared" si="6"/>
        <v>0</v>
      </c>
      <c r="P108">
        <f t="shared" si="7"/>
        <v>0</v>
      </c>
      <c r="Q108">
        <f t="shared" si="8"/>
        <v>1</v>
      </c>
      <c r="R108">
        <f t="shared" si="9"/>
        <v>1</v>
      </c>
      <c r="S108">
        <f t="shared" si="10"/>
        <v>0</v>
      </c>
      <c r="T108">
        <f t="shared" si="11"/>
        <v>0</v>
      </c>
    </row>
    <row r="109" spans="1:20">
      <c r="A109" s="1" t="s">
        <v>48</v>
      </c>
      <c r="B109" s="3">
        <v>45748</v>
      </c>
      <c r="C109" s="1" t="s">
        <v>27</v>
      </c>
      <c r="D109" s="1" t="s">
        <v>18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  <c r="O109">
        <f t="shared" si="6"/>
        <v>0</v>
      </c>
      <c r="P109">
        <f t="shared" si="7"/>
        <v>0</v>
      </c>
      <c r="Q109">
        <f t="shared" si="8"/>
        <v>1</v>
      </c>
      <c r="R109">
        <f t="shared" si="9"/>
        <v>1</v>
      </c>
      <c r="S109">
        <f t="shared" si="10"/>
        <v>0</v>
      </c>
      <c r="T109">
        <f t="shared" si="11"/>
        <v>0</v>
      </c>
    </row>
    <row r="110" spans="1:20">
      <c r="A110" s="1" t="s">
        <v>49</v>
      </c>
      <c r="B110" s="3">
        <v>45658</v>
      </c>
      <c r="C110" s="1" t="s">
        <v>15</v>
      </c>
      <c r="D110" s="1" t="s">
        <v>28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  <c r="O110">
        <f t="shared" si="6"/>
        <v>0</v>
      </c>
      <c r="P110">
        <f t="shared" si="7"/>
        <v>0</v>
      </c>
      <c r="Q110">
        <f t="shared" si="8"/>
        <v>0</v>
      </c>
      <c r="R110">
        <f t="shared" si="9"/>
        <v>0</v>
      </c>
      <c r="S110">
        <f t="shared" si="10"/>
        <v>0</v>
      </c>
      <c r="T110">
        <f t="shared" si="11"/>
        <v>1</v>
      </c>
    </row>
    <row r="111" spans="1:20">
      <c r="A111" s="1" t="s">
        <v>49</v>
      </c>
      <c r="B111" s="3">
        <v>45689</v>
      </c>
      <c r="C111" s="1" t="s">
        <v>15</v>
      </c>
      <c r="D111" s="1" t="s">
        <v>28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  <c r="O111">
        <f t="shared" si="6"/>
        <v>0</v>
      </c>
      <c r="P111">
        <f t="shared" si="7"/>
        <v>0</v>
      </c>
      <c r="Q111">
        <f t="shared" si="8"/>
        <v>0</v>
      </c>
      <c r="R111">
        <f t="shared" si="9"/>
        <v>0</v>
      </c>
      <c r="S111">
        <f t="shared" si="10"/>
        <v>0</v>
      </c>
      <c r="T111">
        <f t="shared" si="11"/>
        <v>1</v>
      </c>
    </row>
    <row r="112" spans="1:20">
      <c r="A112" s="1" t="s">
        <v>49</v>
      </c>
      <c r="B112" s="3">
        <v>45717</v>
      </c>
      <c r="C112" s="1" t="s">
        <v>15</v>
      </c>
      <c r="D112" s="1" t="s">
        <v>28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  <c r="O112">
        <f t="shared" si="6"/>
        <v>0</v>
      </c>
      <c r="P112">
        <f t="shared" si="7"/>
        <v>0</v>
      </c>
      <c r="Q112">
        <f t="shared" si="8"/>
        <v>0</v>
      </c>
      <c r="R112">
        <f t="shared" si="9"/>
        <v>0</v>
      </c>
      <c r="S112">
        <f t="shared" si="10"/>
        <v>0</v>
      </c>
      <c r="T112">
        <f t="shared" si="11"/>
        <v>1</v>
      </c>
    </row>
    <row r="113" spans="1:20">
      <c r="A113" s="1" t="s">
        <v>49</v>
      </c>
      <c r="B113" s="3">
        <v>45748</v>
      </c>
      <c r="C113" s="1" t="s">
        <v>15</v>
      </c>
      <c r="D113" s="1" t="s">
        <v>28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  <c r="O113">
        <f t="shared" si="6"/>
        <v>0</v>
      </c>
      <c r="P113">
        <f t="shared" si="7"/>
        <v>0</v>
      </c>
      <c r="Q113">
        <f t="shared" si="8"/>
        <v>0</v>
      </c>
      <c r="R113">
        <f t="shared" si="9"/>
        <v>0</v>
      </c>
      <c r="S113">
        <f t="shared" si="10"/>
        <v>0</v>
      </c>
      <c r="T113">
        <f t="shared" si="11"/>
        <v>1</v>
      </c>
    </row>
    <row r="114" spans="1:20">
      <c r="A114" s="1" t="s">
        <v>50</v>
      </c>
      <c r="B114" s="3">
        <v>45658</v>
      </c>
      <c r="C114" s="1" t="s">
        <v>27</v>
      </c>
      <c r="D114" s="1" t="s">
        <v>28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  <c r="O114">
        <f t="shared" si="6"/>
        <v>0</v>
      </c>
      <c r="P114">
        <f t="shared" si="7"/>
        <v>0</v>
      </c>
      <c r="Q114">
        <f t="shared" si="8"/>
        <v>1</v>
      </c>
      <c r="R114">
        <f t="shared" si="9"/>
        <v>0</v>
      </c>
      <c r="S114">
        <f t="shared" si="10"/>
        <v>0</v>
      </c>
      <c r="T114">
        <f t="shared" si="11"/>
        <v>1</v>
      </c>
    </row>
    <row r="115" spans="1:20">
      <c r="A115" s="1" t="s">
        <v>50</v>
      </c>
      <c r="B115" s="3">
        <v>45689</v>
      </c>
      <c r="C115" s="1" t="s">
        <v>27</v>
      </c>
      <c r="D115" s="1" t="s">
        <v>28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  <c r="O115">
        <f t="shared" si="6"/>
        <v>0</v>
      </c>
      <c r="P115">
        <f t="shared" si="7"/>
        <v>0</v>
      </c>
      <c r="Q115">
        <f t="shared" si="8"/>
        <v>1</v>
      </c>
      <c r="R115">
        <f t="shared" si="9"/>
        <v>0</v>
      </c>
      <c r="S115">
        <f t="shared" si="10"/>
        <v>0</v>
      </c>
      <c r="T115">
        <f t="shared" si="11"/>
        <v>1</v>
      </c>
    </row>
    <row r="116" spans="1:20">
      <c r="A116" s="1" t="s">
        <v>50</v>
      </c>
      <c r="B116" s="3">
        <v>45717</v>
      </c>
      <c r="C116" s="1" t="s">
        <v>27</v>
      </c>
      <c r="D116" s="1" t="s">
        <v>28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  <c r="O116">
        <f t="shared" si="6"/>
        <v>0</v>
      </c>
      <c r="P116">
        <f t="shared" si="7"/>
        <v>0</v>
      </c>
      <c r="Q116">
        <f t="shared" si="8"/>
        <v>1</v>
      </c>
      <c r="R116">
        <f t="shared" si="9"/>
        <v>0</v>
      </c>
      <c r="S116">
        <f t="shared" si="10"/>
        <v>0</v>
      </c>
      <c r="T116">
        <f t="shared" si="11"/>
        <v>1</v>
      </c>
    </row>
    <row r="117" spans="1:20">
      <c r="A117" s="1" t="s">
        <v>50</v>
      </c>
      <c r="B117" s="3">
        <v>45748</v>
      </c>
      <c r="C117" s="1" t="s">
        <v>27</v>
      </c>
      <c r="D117" s="1" t="s">
        <v>28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  <c r="O117">
        <f t="shared" si="6"/>
        <v>0</v>
      </c>
      <c r="P117">
        <f t="shared" si="7"/>
        <v>0</v>
      </c>
      <c r="Q117">
        <f t="shared" si="8"/>
        <v>1</v>
      </c>
      <c r="R117">
        <f t="shared" si="9"/>
        <v>0</v>
      </c>
      <c r="S117">
        <f t="shared" si="10"/>
        <v>0</v>
      </c>
      <c r="T117">
        <f t="shared" si="11"/>
        <v>1</v>
      </c>
    </row>
    <row r="118" spans="1:20">
      <c r="A118" s="1" t="s">
        <v>51</v>
      </c>
      <c r="B118" s="3">
        <v>45658</v>
      </c>
      <c r="C118" s="1" t="s">
        <v>27</v>
      </c>
      <c r="D118" s="1" t="s">
        <v>16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  <c r="O118">
        <f t="shared" si="6"/>
        <v>0</v>
      </c>
      <c r="P118">
        <f t="shared" si="7"/>
        <v>0</v>
      </c>
      <c r="Q118">
        <f t="shared" si="8"/>
        <v>1</v>
      </c>
      <c r="R118">
        <f t="shared" si="9"/>
        <v>0</v>
      </c>
      <c r="S118">
        <f t="shared" si="10"/>
        <v>0</v>
      </c>
      <c r="T118">
        <f t="shared" si="11"/>
        <v>0</v>
      </c>
    </row>
    <row r="119" spans="1:20">
      <c r="A119" s="1" t="s">
        <v>51</v>
      </c>
      <c r="B119" s="3">
        <v>45689</v>
      </c>
      <c r="C119" s="1" t="s">
        <v>27</v>
      </c>
      <c r="D119" s="1" t="s">
        <v>16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  <c r="O119">
        <f t="shared" si="6"/>
        <v>0</v>
      </c>
      <c r="P119">
        <f t="shared" si="7"/>
        <v>0</v>
      </c>
      <c r="Q119">
        <f t="shared" si="8"/>
        <v>1</v>
      </c>
      <c r="R119">
        <f t="shared" si="9"/>
        <v>0</v>
      </c>
      <c r="S119">
        <f t="shared" si="10"/>
        <v>0</v>
      </c>
      <c r="T119">
        <f t="shared" si="11"/>
        <v>0</v>
      </c>
    </row>
    <row r="120" spans="1:20">
      <c r="A120" s="1" t="s">
        <v>51</v>
      </c>
      <c r="B120" s="3">
        <v>45717</v>
      </c>
      <c r="C120" s="1" t="s">
        <v>27</v>
      </c>
      <c r="D120" s="1" t="s">
        <v>16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  <c r="O120">
        <f t="shared" si="6"/>
        <v>0</v>
      </c>
      <c r="P120">
        <f t="shared" si="7"/>
        <v>0</v>
      </c>
      <c r="Q120">
        <f t="shared" si="8"/>
        <v>1</v>
      </c>
      <c r="R120">
        <f t="shared" si="9"/>
        <v>0</v>
      </c>
      <c r="S120">
        <f t="shared" si="10"/>
        <v>0</v>
      </c>
      <c r="T120">
        <f t="shared" si="11"/>
        <v>0</v>
      </c>
    </row>
    <row r="121" spans="1:20">
      <c r="A121" s="1" t="s">
        <v>51</v>
      </c>
      <c r="B121" s="3">
        <v>45748</v>
      </c>
      <c r="C121" s="1" t="s">
        <v>27</v>
      </c>
      <c r="D121" s="1" t="s">
        <v>16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  <c r="O121">
        <f t="shared" si="6"/>
        <v>0</v>
      </c>
      <c r="P121">
        <f t="shared" si="7"/>
        <v>0</v>
      </c>
      <c r="Q121">
        <f t="shared" si="8"/>
        <v>1</v>
      </c>
      <c r="R121">
        <f t="shared" si="9"/>
        <v>0</v>
      </c>
      <c r="S121">
        <f t="shared" si="10"/>
        <v>0</v>
      </c>
      <c r="T121">
        <f t="shared" si="11"/>
        <v>0</v>
      </c>
    </row>
    <row r="122" spans="1:20">
      <c r="A122" s="1" t="s">
        <v>52</v>
      </c>
      <c r="B122" s="3">
        <v>45658</v>
      </c>
      <c r="C122" s="1" t="s">
        <v>20</v>
      </c>
      <c r="D122" s="1" t="s">
        <v>18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  <c r="O122">
        <f t="shared" si="6"/>
        <v>1</v>
      </c>
      <c r="P122">
        <f t="shared" si="7"/>
        <v>0</v>
      </c>
      <c r="Q122">
        <f t="shared" si="8"/>
        <v>0</v>
      </c>
      <c r="R122">
        <f t="shared" si="9"/>
        <v>1</v>
      </c>
      <c r="S122">
        <f t="shared" si="10"/>
        <v>0</v>
      </c>
      <c r="T122">
        <f t="shared" si="11"/>
        <v>0</v>
      </c>
    </row>
    <row r="123" spans="1:20">
      <c r="A123" s="1" t="s">
        <v>52</v>
      </c>
      <c r="B123" s="3">
        <v>45689</v>
      </c>
      <c r="C123" s="1" t="s">
        <v>20</v>
      </c>
      <c r="D123" s="1" t="s">
        <v>18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  <c r="O123">
        <f t="shared" si="6"/>
        <v>1</v>
      </c>
      <c r="P123">
        <f t="shared" si="7"/>
        <v>0</v>
      </c>
      <c r="Q123">
        <f t="shared" si="8"/>
        <v>0</v>
      </c>
      <c r="R123">
        <f t="shared" si="9"/>
        <v>1</v>
      </c>
      <c r="S123">
        <f t="shared" si="10"/>
        <v>0</v>
      </c>
      <c r="T123">
        <f t="shared" si="11"/>
        <v>0</v>
      </c>
    </row>
    <row r="124" spans="1:20">
      <c r="A124" s="1" t="s">
        <v>52</v>
      </c>
      <c r="B124" s="3">
        <v>45717</v>
      </c>
      <c r="C124" s="1" t="s">
        <v>20</v>
      </c>
      <c r="D124" s="1" t="s">
        <v>18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  <c r="O124">
        <f t="shared" si="6"/>
        <v>1</v>
      </c>
      <c r="P124">
        <f t="shared" si="7"/>
        <v>0</v>
      </c>
      <c r="Q124">
        <f t="shared" si="8"/>
        <v>0</v>
      </c>
      <c r="R124">
        <f t="shared" si="9"/>
        <v>1</v>
      </c>
      <c r="S124">
        <f t="shared" si="10"/>
        <v>0</v>
      </c>
      <c r="T124">
        <f t="shared" si="11"/>
        <v>0</v>
      </c>
    </row>
    <row r="125" spans="1:20">
      <c r="A125" s="1" t="s">
        <v>52</v>
      </c>
      <c r="B125" s="3">
        <v>45748</v>
      </c>
      <c r="C125" s="1" t="s">
        <v>20</v>
      </c>
      <c r="D125" s="1" t="s">
        <v>18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  <c r="O125">
        <f t="shared" si="6"/>
        <v>1</v>
      </c>
      <c r="P125">
        <f t="shared" si="7"/>
        <v>0</v>
      </c>
      <c r="Q125">
        <f t="shared" si="8"/>
        <v>0</v>
      </c>
      <c r="R125">
        <f t="shared" si="9"/>
        <v>1</v>
      </c>
      <c r="S125">
        <f t="shared" si="10"/>
        <v>0</v>
      </c>
      <c r="T125">
        <f t="shared" si="11"/>
        <v>0</v>
      </c>
    </row>
    <row r="126" spans="1:20">
      <c r="A126" s="1" t="s">
        <v>53</v>
      </c>
      <c r="B126" s="3">
        <v>45658</v>
      </c>
      <c r="C126" s="1" t="s">
        <v>24</v>
      </c>
      <c r="D126" s="1" t="s">
        <v>18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  <c r="O126">
        <f t="shared" si="6"/>
        <v>0</v>
      </c>
      <c r="P126">
        <f t="shared" si="7"/>
        <v>1</v>
      </c>
      <c r="Q126">
        <f t="shared" si="8"/>
        <v>0</v>
      </c>
      <c r="R126">
        <f t="shared" si="9"/>
        <v>1</v>
      </c>
      <c r="S126">
        <f t="shared" si="10"/>
        <v>0</v>
      </c>
      <c r="T126">
        <f t="shared" si="11"/>
        <v>0</v>
      </c>
    </row>
    <row r="127" spans="1:20">
      <c r="A127" s="1" t="s">
        <v>53</v>
      </c>
      <c r="B127" s="3">
        <v>45689</v>
      </c>
      <c r="C127" s="1" t="s">
        <v>24</v>
      </c>
      <c r="D127" s="1" t="s">
        <v>18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  <c r="O127">
        <f t="shared" si="6"/>
        <v>0</v>
      </c>
      <c r="P127">
        <f t="shared" si="7"/>
        <v>1</v>
      </c>
      <c r="Q127">
        <f t="shared" si="8"/>
        <v>0</v>
      </c>
      <c r="R127">
        <f t="shared" si="9"/>
        <v>1</v>
      </c>
      <c r="S127">
        <f t="shared" si="10"/>
        <v>0</v>
      </c>
      <c r="T127">
        <f t="shared" si="11"/>
        <v>0</v>
      </c>
    </row>
    <row r="128" spans="1:20">
      <c r="A128" s="1" t="s">
        <v>53</v>
      </c>
      <c r="B128" s="3">
        <v>45717</v>
      </c>
      <c r="C128" s="1" t="s">
        <v>24</v>
      </c>
      <c r="D128" s="1" t="s">
        <v>18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  <c r="O128">
        <f t="shared" si="6"/>
        <v>0</v>
      </c>
      <c r="P128">
        <f t="shared" si="7"/>
        <v>1</v>
      </c>
      <c r="Q128">
        <f t="shared" si="8"/>
        <v>0</v>
      </c>
      <c r="R128">
        <f t="shared" si="9"/>
        <v>1</v>
      </c>
      <c r="S128">
        <f t="shared" si="10"/>
        <v>0</v>
      </c>
      <c r="T128">
        <f t="shared" si="11"/>
        <v>0</v>
      </c>
    </row>
    <row r="129" spans="1:20">
      <c r="A129" s="1" t="s">
        <v>53</v>
      </c>
      <c r="B129" s="3">
        <v>45748</v>
      </c>
      <c r="C129" s="1" t="s">
        <v>24</v>
      </c>
      <c r="D129" s="1" t="s">
        <v>18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  <c r="O129">
        <f t="shared" si="6"/>
        <v>0</v>
      </c>
      <c r="P129">
        <f t="shared" si="7"/>
        <v>1</v>
      </c>
      <c r="Q129">
        <f t="shared" si="8"/>
        <v>0</v>
      </c>
      <c r="R129">
        <f t="shared" si="9"/>
        <v>1</v>
      </c>
      <c r="S129">
        <f t="shared" si="10"/>
        <v>0</v>
      </c>
      <c r="T129">
        <f t="shared" si="11"/>
        <v>0</v>
      </c>
    </row>
    <row r="130" spans="1:20">
      <c r="A130" s="1" t="s">
        <v>54</v>
      </c>
      <c r="B130" s="3">
        <v>45658</v>
      </c>
      <c r="C130" s="1" t="s">
        <v>15</v>
      </c>
      <c r="D130" s="1" t="s">
        <v>18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  <c r="O130">
        <f t="shared" si="6"/>
        <v>0</v>
      </c>
      <c r="P130">
        <f t="shared" si="7"/>
        <v>0</v>
      </c>
      <c r="Q130">
        <f t="shared" si="8"/>
        <v>0</v>
      </c>
      <c r="R130">
        <f t="shared" si="9"/>
        <v>1</v>
      </c>
      <c r="S130">
        <f t="shared" si="10"/>
        <v>0</v>
      </c>
      <c r="T130">
        <f t="shared" si="11"/>
        <v>0</v>
      </c>
    </row>
    <row r="131" spans="1:20">
      <c r="A131" s="1" t="s">
        <v>54</v>
      </c>
      <c r="B131" s="3">
        <v>45689</v>
      </c>
      <c r="C131" s="1" t="s">
        <v>15</v>
      </c>
      <c r="D131" s="1" t="s">
        <v>18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  <c r="O131">
        <f t="shared" ref="O131:O194" si="12">IF(C131="North",1,0)</f>
        <v>0</v>
      </c>
      <c r="P131">
        <f t="shared" ref="P131:P194" si="13">IF(C131="South",1,0)</f>
        <v>0</v>
      </c>
      <c r="Q131">
        <f t="shared" ref="Q131:Q194" si="14">IF(C131="West",1,0)</f>
        <v>0</v>
      </c>
      <c r="R131">
        <f t="shared" ref="R131:R194" si="15">IF(D131="High Street",1,0)</f>
        <v>1</v>
      </c>
      <c r="S131">
        <f t="shared" ref="S131:S194" si="16">IF(D131="Airport",1,0)</f>
        <v>0</v>
      </c>
      <c r="T131">
        <f t="shared" ref="T131:T194" si="17">IF(D131="Mall",1,0)</f>
        <v>0</v>
      </c>
    </row>
    <row r="132" spans="1:20">
      <c r="A132" s="1" t="s">
        <v>54</v>
      </c>
      <c r="B132" s="3">
        <v>45717</v>
      </c>
      <c r="C132" s="1" t="s">
        <v>15</v>
      </c>
      <c r="D132" s="1" t="s">
        <v>18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  <c r="O132">
        <f t="shared" si="12"/>
        <v>0</v>
      </c>
      <c r="P132">
        <f t="shared" si="13"/>
        <v>0</v>
      </c>
      <c r="Q132">
        <f t="shared" si="14"/>
        <v>0</v>
      </c>
      <c r="R132">
        <f t="shared" si="15"/>
        <v>1</v>
      </c>
      <c r="S132">
        <f t="shared" si="16"/>
        <v>0</v>
      </c>
      <c r="T132">
        <f t="shared" si="17"/>
        <v>0</v>
      </c>
    </row>
    <row r="133" spans="1:20">
      <c r="A133" s="1" t="s">
        <v>54</v>
      </c>
      <c r="B133" s="3">
        <v>45748</v>
      </c>
      <c r="C133" s="1" t="s">
        <v>15</v>
      </c>
      <c r="D133" s="1" t="s">
        <v>18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  <c r="O133">
        <f t="shared" si="12"/>
        <v>0</v>
      </c>
      <c r="P133">
        <f t="shared" si="13"/>
        <v>0</v>
      </c>
      <c r="Q133">
        <f t="shared" si="14"/>
        <v>0</v>
      </c>
      <c r="R133">
        <f t="shared" si="15"/>
        <v>1</v>
      </c>
      <c r="S133">
        <f t="shared" si="16"/>
        <v>0</v>
      </c>
      <c r="T133">
        <f t="shared" si="17"/>
        <v>0</v>
      </c>
    </row>
    <row r="134" spans="1:20">
      <c r="A134" s="1" t="s">
        <v>55</v>
      </c>
      <c r="B134" s="3">
        <v>45658</v>
      </c>
      <c r="C134" s="1" t="s">
        <v>20</v>
      </c>
      <c r="D134" s="1" t="s">
        <v>18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  <c r="O134">
        <f t="shared" si="12"/>
        <v>1</v>
      </c>
      <c r="P134">
        <f t="shared" si="13"/>
        <v>0</v>
      </c>
      <c r="Q134">
        <f t="shared" si="14"/>
        <v>0</v>
      </c>
      <c r="R134">
        <f t="shared" si="15"/>
        <v>1</v>
      </c>
      <c r="S134">
        <f t="shared" si="16"/>
        <v>0</v>
      </c>
      <c r="T134">
        <f t="shared" si="17"/>
        <v>0</v>
      </c>
    </row>
    <row r="135" spans="1:20">
      <c r="A135" s="1" t="s">
        <v>55</v>
      </c>
      <c r="B135" s="3">
        <v>45689</v>
      </c>
      <c r="C135" s="1" t="s">
        <v>20</v>
      </c>
      <c r="D135" s="1" t="s">
        <v>18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>
        <v>3.92</v>
      </c>
      <c r="M135" s="1">
        <v>400831.65</v>
      </c>
      <c r="N135" s="1">
        <v>70979.31</v>
      </c>
      <c r="O135">
        <f t="shared" si="12"/>
        <v>1</v>
      </c>
      <c r="P135">
        <f t="shared" si="13"/>
        <v>0</v>
      </c>
      <c r="Q135">
        <f t="shared" si="14"/>
        <v>0</v>
      </c>
      <c r="R135">
        <f t="shared" si="15"/>
        <v>1</v>
      </c>
      <c r="S135">
        <f t="shared" si="16"/>
        <v>0</v>
      </c>
      <c r="T135">
        <f t="shared" si="17"/>
        <v>0</v>
      </c>
    </row>
    <row r="136" spans="1:20">
      <c r="A136" s="1" t="s">
        <v>55</v>
      </c>
      <c r="B136" s="3">
        <v>45717</v>
      </c>
      <c r="C136" s="1" t="s">
        <v>20</v>
      </c>
      <c r="D136" s="1" t="s">
        <v>18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  <c r="O136">
        <f t="shared" si="12"/>
        <v>1</v>
      </c>
      <c r="P136">
        <f t="shared" si="13"/>
        <v>0</v>
      </c>
      <c r="Q136">
        <f t="shared" si="14"/>
        <v>0</v>
      </c>
      <c r="R136">
        <f t="shared" si="15"/>
        <v>1</v>
      </c>
      <c r="S136">
        <f t="shared" si="16"/>
        <v>0</v>
      </c>
      <c r="T136">
        <f t="shared" si="17"/>
        <v>0</v>
      </c>
    </row>
    <row r="137" spans="1:20">
      <c r="A137" s="1" t="s">
        <v>55</v>
      </c>
      <c r="B137" s="3">
        <v>45748</v>
      </c>
      <c r="C137" s="1" t="s">
        <v>20</v>
      </c>
      <c r="D137" s="1" t="s">
        <v>18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  <c r="O137">
        <f t="shared" si="12"/>
        <v>1</v>
      </c>
      <c r="P137">
        <f t="shared" si="13"/>
        <v>0</v>
      </c>
      <c r="Q137">
        <f t="shared" si="14"/>
        <v>0</v>
      </c>
      <c r="R137">
        <f t="shared" si="15"/>
        <v>1</v>
      </c>
      <c r="S137">
        <f t="shared" si="16"/>
        <v>0</v>
      </c>
      <c r="T137">
        <f t="shared" si="17"/>
        <v>0</v>
      </c>
    </row>
    <row r="138" spans="1:20">
      <c r="A138" s="1" t="s">
        <v>56</v>
      </c>
      <c r="B138" s="3">
        <v>45658</v>
      </c>
      <c r="C138" s="1" t="s">
        <v>24</v>
      </c>
      <c r="D138" s="1" t="s">
        <v>16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>
        <v>3.92</v>
      </c>
      <c r="M138" s="1">
        <v>633638.03</v>
      </c>
      <c r="N138" s="1">
        <v>99402.01</v>
      </c>
      <c r="O138">
        <f t="shared" si="12"/>
        <v>0</v>
      </c>
      <c r="P138">
        <f t="shared" si="13"/>
        <v>1</v>
      </c>
      <c r="Q138">
        <f t="shared" si="14"/>
        <v>0</v>
      </c>
      <c r="R138">
        <f t="shared" si="15"/>
        <v>0</v>
      </c>
      <c r="S138">
        <f t="shared" si="16"/>
        <v>0</v>
      </c>
      <c r="T138">
        <f t="shared" si="17"/>
        <v>0</v>
      </c>
    </row>
    <row r="139" spans="1:20">
      <c r="A139" s="1" t="s">
        <v>56</v>
      </c>
      <c r="B139" s="3">
        <v>45689</v>
      </c>
      <c r="C139" s="1" t="s">
        <v>24</v>
      </c>
      <c r="D139" s="1" t="s">
        <v>16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  <c r="O139">
        <f t="shared" si="12"/>
        <v>0</v>
      </c>
      <c r="P139">
        <f t="shared" si="13"/>
        <v>1</v>
      </c>
      <c r="Q139">
        <f t="shared" si="14"/>
        <v>0</v>
      </c>
      <c r="R139">
        <f t="shared" si="15"/>
        <v>0</v>
      </c>
      <c r="S139">
        <f t="shared" si="16"/>
        <v>0</v>
      </c>
      <c r="T139">
        <f t="shared" si="17"/>
        <v>0</v>
      </c>
    </row>
    <row r="140" spans="1:20">
      <c r="A140" s="1" t="s">
        <v>56</v>
      </c>
      <c r="B140" s="3">
        <v>45717</v>
      </c>
      <c r="C140" s="1" t="s">
        <v>24</v>
      </c>
      <c r="D140" s="1" t="s">
        <v>16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  <c r="O140">
        <f t="shared" si="12"/>
        <v>0</v>
      </c>
      <c r="P140">
        <f t="shared" si="13"/>
        <v>1</v>
      </c>
      <c r="Q140">
        <f t="shared" si="14"/>
        <v>0</v>
      </c>
      <c r="R140">
        <f t="shared" si="15"/>
        <v>0</v>
      </c>
      <c r="S140">
        <f t="shared" si="16"/>
        <v>0</v>
      </c>
      <c r="T140">
        <f t="shared" si="17"/>
        <v>0</v>
      </c>
    </row>
    <row r="141" spans="1:20">
      <c r="A141" s="1" t="s">
        <v>56</v>
      </c>
      <c r="B141" s="3">
        <v>45748</v>
      </c>
      <c r="C141" s="1" t="s">
        <v>24</v>
      </c>
      <c r="D141" s="1" t="s">
        <v>16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  <c r="O141">
        <f t="shared" si="12"/>
        <v>0</v>
      </c>
      <c r="P141">
        <f t="shared" si="13"/>
        <v>1</v>
      </c>
      <c r="Q141">
        <f t="shared" si="14"/>
        <v>0</v>
      </c>
      <c r="R141">
        <f t="shared" si="15"/>
        <v>0</v>
      </c>
      <c r="S141">
        <f t="shared" si="16"/>
        <v>0</v>
      </c>
      <c r="T141">
        <f t="shared" si="17"/>
        <v>0</v>
      </c>
    </row>
    <row r="142" spans="1:20">
      <c r="A142" s="1" t="s">
        <v>57</v>
      </c>
      <c r="B142" s="3">
        <v>45658</v>
      </c>
      <c r="C142" s="1" t="s">
        <v>27</v>
      </c>
      <c r="D142" s="1" t="s">
        <v>18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  <c r="O142">
        <f t="shared" si="12"/>
        <v>0</v>
      </c>
      <c r="P142">
        <f t="shared" si="13"/>
        <v>0</v>
      </c>
      <c r="Q142">
        <f t="shared" si="14"/>
        <v>1</v>
      </c>
      <c r="R142">
        <f t="shared" si="15"/>
        <v>1</v>
      </c>
      <c r="S142">
        <f t="shared" si="16"/>
        <v>0</v>
      </c>
      <c r="T142">
        <f t="shared" si="17"/>
        <v>0</v>
      </c>
    </row>
    <row r="143" spans="1:20">
      <c r="A143" s="1" t="s">
        <v>57</v>
      </c>
      <c r="B143" s="3">
        <v>45689</v>
      </c>
      <c r="C143" s="1" t="s">
        <v>27</v>
      </c>
      <c r="D143" s="1" t="s">
        <v>18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  <c r="O143">
        <f t="shared" si="12"/>
        <v>0</v>
      </c>
      <c r="P143">
        <f t="shared" si="13"/>
        <v>0</v>
      </c>
      <c r="Q143">
        <f t="shared" si="14"/>
        <v>1</v>
      </c>
      <c r="R143">
        <f t="shared" si="15"/>
        <v>1</v>
      </c>
      <c r="S143">
        <f t="shared" si="16"/>
        <v>0</v>
      </c>
      <c r="T143">
        <f t="shared" si="17"/>
        <v>0</v>
      </c>
    </row>
    <row r="144" spans="1:20">
      <c r="A144" s="1" t="s">
        <v>57</v>
      </c>
      <c r="B144" s="3">
        <v>45717</v>
      </c>
      <c r="C144" s="1" t="s">
        <v>27</v>
      </c>
      <c r="D144" s="1" t="s">
        <v>18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  <c r="O144">
        <f t="shared" si="12"/>
        <v>0</v>
      </c>
      <c r="P144">
        <f t="shared" si="13"/>
        <v>0</v>
      </c>
      <c r="Q144">
        <f t="shared" si="14"/>
        <v>1</v>
      </c>
      <c r="R144">
        <f t="shared" si="15"/>
        <v>1</v>
      </c>
      <c r="S144">
        <f t="shared" si="16"/>
        <v>0</v>
      </c>
      <c r="T144">
        <f t="shared" si="17"/>
        <v>0</v>
      </c>
    </row>
    <row r="145" spans="1:20">
      <c r="A145" s="1" t="s">
        <v>57</v>
      </c>
      <c r="B145" s="3">
        <v>45748</v>
      </c>
      <c r="C145" s="1" t="s">
        <v>27</v>
      </c>
      <c r="D145" s="1" t="s">
        <v>18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  <c r="O145">
        <f t="shared" si="12"/>
        <v>0</v>
      </c>
      <c r="P145">
        <f t="shared" si="13"/>
        <v>0</v>
      </c>
      <c r="Q145">
        <f t="shared" si="14"/>
        <v>1</v>
      </c>
      <c r="R145">
        <f t="shared" si="15"/>
        <v>1</v>
      </c>
      <c r="S145">
        <f t="shared" si="16"/>
        <v>0</v>
      </c>
      <c r="T145">
        <f t="shared" si="17"/>
        <v>0</v>
      </c>
    </row>
    <row r="146" spans="1:20">
      <c r="A146" s="1" t="s">
        <v>58</v>
      </c>
      <c r="B146" s="3">
        <v>45658</v>
      </c>
      <c r="C146" s="1" t="s">
        <v>20</v>
      </c>
      <c r="D146" s="1" t="s">
        <v>16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  <c r="O146">
        <f t="shared" si="12"/>
        <v>1</v>
      </c>
      <c r="P146">
        <f t="shared" si="13"/>
        <v>0</v>
      </c>
      <c r="Q146">
        <f t="shared" si="14"/>
        <v>0</v>
      </c>
      <c r="R146">
        <f t="shared" si="15"/>
        <v>0</v>
      </c>
      <c r="S146">
        <f t="shared" si="16"/>
        <v>0</v>
      </c>
      <c r="T146">
        <f t="shared" si="17"/>
        <v>0</v>
      </c>
    </row>
    <row r="147" spans="1:20">
      <c r="A147" s="1" t="s">
        <v>58</v>
      </c>
      <c r="B147" s="3">
        <v>45689</v>
      </c>
      <c r="C147" s="1" t="s">
        <v>20</v>
      </c>
      <c r="D147" s="1" t="s">
        <v>16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  <c r="O147">
        <f t="shared" si="12"/>
        <v>1</v>
      </c>
      <c r="P147">
        <f t="shared" si="13"/>
        <v>0</v>
      </c>
      <c r="Q147">
        <f t="shared" si="14"/>
        <v>0</v>
      </c>
      <c r="R147">
        <f t="shared" si="15"/>
        <v>0</v>
      </c>
      <c r="S147">
        <f t="shared" si="16"/>
        <v>0</v>
      </c>
      <c r="T147">
        <f t="shared" si="17"/>
        <v>0</v>
      </c>
    </row>
    <row r="148" spans="1:20">
      <c r="A148" s="1" t="s">
        <v>58</v>
      </c>
      <c r="B148" s="3">
        <v>45717</v>
      </c>
      <c r="C148" s="1" t="s">
        <v>20</v>
      </c>
      <c r="D148" s="1" t="s">
        <v>16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  <c r="O148">
        <f t="shared" si="12"/>
        <v>1</v>
      </c>
      <c r="P148">
        <f t="shared" si="13"/>
        <v>0</v>
      </c>
      <c r="Q148">
        <f t="shared" si="14"/>
        <v>0</v>
      </c>
      <c r="R148">
        <f t="shared" si="15"/>
        <v>0</v>
      </c>
      <c r="S148">
        <f t="shared" si="16"/>
        <v>0</v>
      </c>
      <c r="T148">
        <f t="shared" si="17"/>
        <v>0</v>
      </c>
    </row>
    <row r="149" spans="1:20">
      <c r="A149" s="1" t="s">
        <v>58</v>
      </c>
      <c r="B149" s="3">
        <v>45748</v>
      </c>
      <c r="C149" s="1" t="s">
        <v>20</v>
      </c>
      <c r="D149" s="1" t="s">
        <v>16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  <c r="O149">
        <f t="shared" si="12"/>
        <v>1</v>
      </c>
      <c r="P149">
        <f t="shared" si="13"/>
        <v>0</v>
      </c>
      <c r="Q149">
        <f t="shared" si="14"/>
        <v>0</v>
      </c>
      <c r="R149">
        <f t="shared" si="15"/>
        <v>0</v>
      </c>
      <c r="S149">
        <f t="shared" si="16"/>
        <v>0</v>
      </c>
      <c r="T149">
        <f t="shared" si="17"/>
        <v>0</v>
      </c>
    </row>
    <row r="150" spans="1:20">
      <c r="A150" s="1" t="s">
        <v>59</v>
      </c>
      <c r="B150" s="3">
        <v>45658</v>
      </c>
      <c r="C150" s="1" t="s">
        <v>24</v>
      </c>
      <c r="D150" s="1" t="s">
        <v>28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  <c r="O150">
        <f t="shared" si="12"/>
        <v>0</v>
      </c>
      <c r="P150">
        <f t="shared" si="13"/>
        <v>1</v>
      </c>
      <c r="Q150">
        <f t="shared" si="14"/>
        <v>0</v>
      </c>
      <c r="R150">
        <f t="shared" si="15"/>
        <v>0</v>
      </c>
      <c r="S150">
        <f t="shared" si="16"/>
        <v>0</v>
      </c>
      <c r="T150">
        <f t="shared" si="17"/>
        <v>1</v>
      </c>
    </row>
    <row r="151" spans="1:20">
      <c r="A151" s="1" t="s">
        <v>59</v>
      </c>
      <c r="B151" s="3">
        <v>45689</v>
      </c>
      <c r="C151" s="1" t="s">
        <v>24</v>
      </c>
      <c r="D151" s="1" t="s">
        <v>28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  <c r="O151">
        <f t="shared" si="12"/>
        <v>0</v>
      </c>
      <c r="P151">
        <f t="shared" si="13"/>
        <v>1</v>
      </c>
      <c r="Q151">
        <f t="shared" si="14"/>
        <v>0</v>
      </c>
      <c r="R151">
        <f t="shared" si="15"/>
        <v>0</v>
      </c>
      <c r="S151">
        <f t="shared" si="16"/>
        <v>0</v>
      </c>
      <c r="T151">
        <f t="shared" si="17"/>
        <v>1</v>
      </c>
    </row>
    <row r="152" spans="1:20">
      <c r="A152" s="1" t="s">
        <v>59</v>
      </c>
      <c r="B152" s="3">
        <v>45717</v>
      </c>
      <c r="C152" s="1" t="s">
        <v>24</v>
      </c>
      <c r="D152" s="1" t="s">
        <v>28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  <c r="O152">
        <f t="shared" si="12"/>
        <v>0</v>
      </c>
      <c r="P152">
        <f t="shared" si="13"/>
        <v>1</v>
      </c>
      <c r="Q152">
        <f t="shared" si="14"/>
        <v>0</v>
      </c>
      <c r="R152">
        <f t="shared" si="15"/>
        <v>0</v>
      </c>
      <c r="S152">
        <f t="shared" si="16"/>
        <v>0</v>
      </c>
      <c r="T152">
        <f t="shared" si="17"/>
        <v>1</v>
      </c>
    </row>
    <row r="153" spans="1:20">
      <c r="A153" s="1" t="s">
        <v>59</v>
      </c>
      <c r="B153" s="3">
        <v>45748</v>
      </c>
      <c r="C153" s="1" t="s">
        <v>24</v>
      </c>
      <c r="D153" s="1" t="s">
        <v>28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  <c r="O153">
        <f t="shared" si="12"/>
        <v>0</v>
      </c>
      <c r="P153">
        <f t="shared" si="13"/>
        <v>1</v>
      </c>
      <c r="Q153">
        <f t="shared" si="14"/>
        <v>0</v>
      </c>
      <c r="R153">
        <f t="shared" si="15"/>
        <v>0</v>
      </c>
      <c r="S153">
        <f t="shared" si="16"/>
        <v>0</v>
      </c>
      <c r="T153">
        <f t="shared" si="17"/>
        <v>1</v>
      </c>
    </row>
    <row r="154" spans="1:20">
      <c r="A154" s="1" t="s">
        <v>60</v>
      </c>
      <c r="B154" s="3">
        <v>45658</v>
      </c>
      <c r="C154" s="1" t="s">
        <v>15</v>
      </c>
      <c r="D154" s="1" t="s">
        <v>18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  <c r="O154">
        <f t="shared" si="12"/>
        <v>0</v>
      </c>
      <c r="P154">
        <f t="shared" si="13"/>
        <v>0</v>
      </c>
      <c r="Q154">
        <f t="shared" si="14"/>
        <v>0</v>
      </c>
      <c r="R154">
        <f t="shared" si="15"/>
        <v>1</v>
      </c>
      <c r="S154">
        <f t="shared" si="16"/>
        <v>0</v>
      </c>
      <c r="T154">
        <f t="shared" si="17"/>
        <v>0</v>
      </c>
    </row>
    <row r="155" spans="1:20">
      <c r="A155" s="1" t="s">
        <v>60</v>
      </c>
      <c r="B155" s="3">
        <v>45689</v>
      </c>
      <c r="C155" s="1" t="s">
        <v>15</v>
      </c>
      <c r="D155" s="1" t="s">
        <v>18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  <c r="O155">
        <f t="shared" si="12"/>
        <v>0</v>
      </c>
      <c r="P155">
        <f t="shared" si="13"/>
        <v>0</v>
      </c>
      <c r="Q155">
        <f t="shared" si="14"/>
        <v>0</v>
      </c>
      <c r="R155">
        <f t="shared" si="15"/>
        <v>1</v>
      </c>
      <c r="S155">
        <f t="shared" si="16"/>
        <v>0</v>
      </c>
      <c r="T155">
        <f t="shared" si="17"/>
        <v>0</v>
      </c>
    </row>
    <row r="156" spans="1:20">
      <c r="A156" s="1" t="s">
        <v>60</v>
      </c>
      <c r="B156" s="3">
        <v>45717</v>
      </c>
      <c r="C156" s="1" t="s">
        <v>15</v>
      </c>
      <c r="D156" s="1" t="s">
        <v>18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  <c r="O156">
        <f t="shared" si="12"/>
        <v>0</v>
      </c>
      <c r="P156">
        <f t="shared" si="13"/>
        <v>0</v>
      </c>
      <c r="Q156">
        <f t="shared" si="14"/>
        <v>0</v>
      </c>
      <c r="R156">
        <f t="shared" si="15"/>
        <v>1</v>
      </c>
      <c r="S156">
        <f t="shared" si="16"/>
        <v>0</v>
      </c>
      <c r="T156">
        <f t="shared" si="17"/>
        <v>0</v>
      </c>
    </row>
    <row r="157" spans="1:20">
      <c r="A157" s="1" t="s">
        <v>60</v>
      </c>
      <c r="B157" s="3">
        <v>45748</v>
      </c>
      <c r="C157" s="1" t="s">
        <v>15</v>
      </c>
      <c r="D157" s="1" t="s">
        <v>18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  <c r="O157">
        <f t="shared" si="12"/>
        <v>0</v>
      </c>
      <c r="P157">
        <f t="shared" si="13"/>
        <v>0</v>
      </c>
      <c r="Q157">
        <f t="shared" si="14"/>
        <v>0</v>
      </c>
      <c r="R157">
        <f t="shared" si="15"/>
        <v>1</v>
      </c>
      <c r="S157">
        <f t="shared" si="16"/>
        <v>0</v>
      </c>
      <c r="T157">
        <f t="shared" si="17"/>
        <v>0</v>
      </c>
    </row>
    <row r="158" spans="1:20">
      <c r="A158" s="1" t="s">
        <v>61</v>
      </c>
      <c r="B158" s="3">
        <v>45658</v>
      </c>
      <c r="C158" s="1" t="s">
        <v>20</v>
      </c>
      <c r="D158" s="1" t="s">
        <v>28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  <c r="O158">
        <f t="shared" si="12"/>
        <v>1</v>
      </c>
      <c r="P158">
        <f t="shared" si="13"/>
        <v>0</v>
      </c>
      <c r="Q158">
        <f t="shared" si="14"/>
        <v>0</v>
      </c>
      <c r="R158">
        <f t="shared" si="15"/>
        <v>0</v>
      </c>
      <c r="S158">
        <f t="shared" si="16"/>
        <v>0</v>
      </c>
      <c r="T158">
        <f t="shared" si="17"/>
        <v>1</v>
      </c>
    </row>
    <row r="159" spans="1:20">
      <c r="A159" s="1" t="s">
        <v>61</v>
      </c>
      <c r="B159" s="3">
        <v>45689</v>
      </c>
      <c r="C159" s="1" t="s">
        <v>20</v>
      </c>
      <c r="D159" s="1" t="s">
        <v>28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  <c r="O159">
        <f t="shared" si="12"/>
        <v>1</v>
      </c>
      <c r="P159">
        <f t="shared" si="13"/>
        <v>0</v>
      </c>
      <c r="Q159">
        <f t="shared" si="14"/>
        <v>0</v>
      </c>
      <c r="R159">
        <f t="shared" si="15"/>
        <v>0</v>
      </c>
      <c r="S159">
        <f t="shared" si="16"/>
        <v>0</v>
      </c>
      <c r="T159">
        <f t="shared" si="17"/>
        <v>1</v>
      </c>
    </row>
    <row r="160" spans="1:20">
      <c r="A160" s="1" t="s">
        <v>61</v>
      </c>
      <c r="B160" s="3">
        <v>45717</v>
      </c>
      <c r="C160" s="1" t="s">
        <v>20</v>
      </c>
      <c r="D160" s="1" t="s">
        <v>28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  <c r="O160">
        <f t="shared" si="12"/>
        <v>1</v>
      </c>
      <c r="P160">
        <f t="shared" si="13"/>
        <v>0</v>
      </c>
      <c r="Q160">
        <f t="shared" si="14"/>
        <v>0</v>
      </c>
      <c r="R160">
        <f t="shared" si="15"/>
        <v>0</v>
      </c>
      <c r="S160">
        <f t="shared" si="16"/>
        <v>0</v>
      </c>
      <c r="T160">
        <f t="shared" si="17"/>
        <v>1</v>
      </c>
    </row>
    <row r="161" spans="1:20">
      <c r="A161" s="1" t="s">
        <v>61</v>
      </c>
      <c r="B161" s="3">
        <v>45748</v>
      </c>
      <c r="C161" s="1" t="s">
        <v>20</v>
      </c>
      <c r="D161" s="1" t="s">
        <v>28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  <c r="O161">
        <f t="shared" si="12"/>
        <v>1</v>
      </c>
      <c r="P161">
        <f t="shared" si="13"/>
        <v>0</v>
      </c>
      <c r="Q161">
        <f t="shared" si="14"/>
        <v>0</v>
      </c>
      <c r="R161">
        <f t="shared" si="15"/>
        <v>0</v>
      </c>
      <c r="S161">
        <f t="shared" si="16"/>
        <v>0</v>
      </c>
      <c r="T161">
        <f t="shared" si="17"/>
        <v>1</v>
      </c>
    </row>
    <row r="162" spans="1:20">
      <c r="A162" s="1" t="s">
        <v>62</v>
      </c>
      <c r="B162" s="3">
        <v>45658</v>
      </c>
      <c r="C162" s="1" t="s">
        <v>24</v>
      </c>
      <c r="D162" s="1" t="s">
        <v>18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  <c r="O162">
        <f t="shared" si="12"/>
        <v>0</v>
      </c>
      <c r="P162">
        <f t="shared" si="13"/>
        <v>1</v>
      </c>
      <c r="Q162">
        <f t="shared" si="14"/>
        <v>0</v>
      </c>
      <c r="R162">
        <f t="shared" si="15"/>
        <v>1</v>
      </c>
      <c r="S162">
        <f t="shared" si="16"/>
        <v>0</v>
      </c>
      <c r="T162">
        <f t="shared" si="17"/>
        <v>0</v>
      </c>
    </row>
    <row r="163" spans="1:20">
      <c r="A163" s="1" t="s">
        <v>62</v>
      </c>
      <c r="B163" s="3">
        <v>45689</v>
      </c>
      <c r="C163" s="1" t="s">
        <v>24</v>
      </c>
      <c r="D163" s="1" t="s">
        <v>18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  <c r="O163">
        <f t="shared" si="12"/>
        <v>0</v>
      </c>
      <c r="P163">
        <f t="shared" si="13"/>
        <v>1</v>
      </c>
      <c r="Q163">
        <f t="shared" si="14"/>
        <v>0</v>
      </c>
      <c r="R163">
        <f t="shared" si="15"/>
        <v>1</v>
      </c>
      <c r="S163">
        <f t="shared" si="16"/>
        <v>0</v>
      </c>
      <c r="T163">
        <f t="shared" si="17"/>
        <v>0</v>
      </c>
    </row>
    <row r="164" spans="1:20">
      <c r="A164" s="1" t="s">
        <v>62</v>
      </c>
      <c r="B164" s="3">
        <v>45717</v>
      </c>
      <c r="C164" s="1" t="s">
        <v>24</v>
      </c>
      <c r="D164" s="1" t="s">
        <v>18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>
        <v>4.5590450000000002</v>
      </c>
      <c r="K164" s="1">
        <v>0</v>
      </c>
      <c r="L164" s="1">
        <v>4.2</v>
      </c>
      <c r="M164" s="1">
        <v>677096.71</v>
      </c>
      <c r="N164" s="1">
        <v>97174.11</v>
      </c>
      <c r="O164">
        <f t="shared" si="12"/>
        <v>0</v>
      </c>
      <c r="P164">
        <f t="shared" si="13"/>
        <v>1</v>
      </c>
      <c r="Q164">
        <f t="shared" si="14"/>
        <v>0</v>
      </c>
      <c r="R164">
        <f t="shared" si="15"/>
        <v>1</v>
      </c>
      <c r="S164">
        <f t="shared" si="16"/>
        <v>0</v>
      </c>
      <c r="T164">
        <f t="shared" si="17"/>
        <v>0</v>
      </c>
    </row>
    <row r="165" spans="1:20">
      <c r="A165" s="1" t="s">
        <v>62</v>
      </c>
      <c r="B165" s="3">
        <v>45748</v>
      </c>
      <c r="C165" s="1" t="s">
        <v>24</v>
      </c>
      <c r="D165" s="1" t="s">
        <v>18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  <c r="O165">
        <f t="shared" si="12"/>
        <v>0</v>
      </c>
      <c r="P165">
        <f t="shared" si="13"/>
        <v>1</v>
      </c>
      <c r="Q165">
        <f t="shared" si="14"/>
        <v>0</v>
      </c>
      <c r="R165">
        <f t="shared" si="15"/>
        <v>1</v>
      </c>
      <c r="S165">
        <f t="shared" si="16"/>
        <v>0</v>
      </c>
      <c r="T165">
        <f t="shared" si="17"/>
        <v>0</v>
      </c>
    </row>
    <row r="166" spans="1:20">
      <c r="A166" s="1" t="s">
        <v>63</v>
      </c>
      <c r="B166" s="3">
        <v>45658</v>
      </c>
      <c r="C166" s="1" t="s">
        <v>20</v>
      </c>
      <c r="D166" s="1" t="s">
        <v>28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  <c r="O166">
        <f t="shared" si="12"/>
        <v>1</v>
      </c>
      <c r="P166">
        <f t="shared" si="13"/>
        <v>0</v>
      </c>
      <c r="Q166">
        <f t="shared" si="14"/>
        <v>0</v>
      </c>
      <c r="R166">
        <f t="shared" si="15"/>
        <v>0</v>
      </c>
      <c r="S166">
        <f t="shared" si="16"/>
        <v>0</v>
      </c>
      <c r="T166">
        <f t="shared" si="17"/>
        <v>1</v>
      </c>
    </row>
    <row r="167" spans="1:20">
      <c r="A167" s="1" t="s">
        <v>63</v>
      </c>
      <c r="B167" s="3">
        <v>45689</v>
      </c>
      <c r="C167" s="1" t="s">
        <v>20</v>
      </c>
      <c r="D167" s="1" t="s">
        <v>28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  <c r="O167">
        <f t="shared" si="12"/>
        <v>1</v>
      </c>
      <c r="P167">
        <f t="shared" si="13"/>
        <v>0</v>
      </c>
      <c r="Q167">
        <f t="shared" si="14"/>
        <v>0</v>
      </c>
      <c r="R167">
        <f t="shared" si="15"/>
        <v>0</v>
      </c>
      <c r="S167">
        <f t="shared" si="16"/>
        <v>0</v>
      </c>
      <c r="T167">
        <f t="shared" si="17"/>
        <v>1</v>
      </c>
    </row>
    <row r="168" spans="1:20">
      <c r="A168" s="1" t="s">
        <v>63</v>
      </c>
      <c r="B168" s="3">
        <v>45717</v>
      </c>
      <c r="C168" s="1" t="s">
        <v>20</v>
      </c>
      <c r="D168" s="1" t="s">
        <v>28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  <c r="O168">
        <f t="shared" si="12"/>
        <v>1</v>
      </c>
      <c r="P168">
        <f t="shared" si="13"/>
        <v>0</v>
      </c>
      <c r="Q168">
        <f t="shared" si="14"/>
        <v>0</v>
      </c>
      <c r="R168">
        <f t="shared" si="15"/>
        <v>0</v>
      </c>
      <c r="S168">
        <f t="shared" si="16"/>
        <v>0</v>
      </c>
      <c r="T168">
        <f t="shared" si="17"/>
        <v>1</v>
      </c>
    </row>
    <row r="169" spans="1:20">
      <c r="A169" s="1" t="s">
        <v>63</v>
      </c>
      <c r="B169" s="3">
        <v>45748</v>
      </c>
      <c r="C169" s="1" t="s">
        <v>20</v>
      </c>
      <c r="D169" s="1" t="s">
        <v>28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  <c r="O169">
        <f t="shared" si="12"/>
        <v>1</v>
      </c>
      <c r="P169">
        <f t="shared" si="13"/>
        <v>0</v>
      </c>
      <c r="Q169">
        <f t="shared" si="14"/>
        <v>0</v>
      </c>
      <c r="R169">
        <f t="shared" si="15"/>
        <v>0</v>
      </c>
      <c r="S169">
        <f t="shared" si="16"/>
        <v>0</v>
      </c>
      <c r="T169">
        <f t="shared" si="17"/>
        <v>1</v>
      </c>
    </row>
    <row r="170" spans="1:20">
      <c r="A170" s="1" t="s">
        <v>64</v>
      </c>
      <c r="B170" s="3">
        <v>45658</v>
      </c>
      <c r="C170" s="1" t="s">
        <v>15</v>
      </c>
      <c r="D170" s="1" t="s">
        <v>16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  <c r="O170">
        <f t="shared" si="12"/>
        <v>0</v>
      </c>
      <c r="P170">
        <f t="shared" si="13"/>
        <v>0</v>
      </c>
      <c r="Q170">
        <f t="shared" si="14"/>
        <v>0</v>
      </c>
      <c r="R170">
        <f t="shared" si="15"/>
        <v>0</v>
      </c>
      <c r="S170">
        <f t="shared" si="16"/>
        <v>0</v>
      </c>
      <c r="T170">
        <f t="shared" si="17"/>
        <v>0</v>
      </c>
    </row>
    <row r="171" spans="1:20">
      <c r="A171" s="1" t="s">
        <v>64</v>
      </c>
      <c r="B171" s="3">
        <v>45689</v>
      </c>
      <c r="C171" s="1" t="s">
        <v>15</v>
      </c>
      <c r="D171" s="1" t="s">
        <v>16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  <c r="O171">
        <f t="shared" si="12"/>
        <v>0</v>
      </c>
      <c r="P171">
        <f t="shared" si="13"/>
        <v>0</v>
      </c>
      <c r="Q171">
        <f t="shared" si="14"/>
        <v>0</v>
      </c>
      <c r="R171">
        <f t="shared" si="15"/>
        <v>0</v>
      </c>
      <c r="S171">
        <f t="shared" si="16"/>
        <v>0</v>
      </c>
      <c r="T171">
        <f t="shared" si="17"/>
        <v>0</v>
      </c>
    </row>
    <row r="172" spans="1:20">
      <c r="A172" s="1" t="s">
        <v>64</v>
      </c>
      <c r="B172" s="3">
        <v>45717</v>
      </c>
      <c r="C172" s="1" t="s">
        <v>15</v>
      </c>
      <c r="D172" s="1" t="s">
        <v>16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  <c r="O172">
        <f t="shared" si="12"/>
        <v>0</v>
      </c>
      <c r="P172">
        <f t="shared" si="13"/>
        <v>0</v>
      </c>
      <c r="Q172">
        <f t="shared" si="14"/>
        <v>0</v>
      </c>
      <c r="R172">
        <f t="shared" si="15"/>
        <v>0</v>
      </c>
      <c r="S172">
        <f t="shared" si="16"/>
        <v>0</v>
      </c>
      <c r="T172">
        <f t="shared" si="17"/>
        <v>0</v>
      </c>
    </row>
    <row r="173" spans="1:20">
      <c r="A173" s="1" t="s">
        <v>64</v>
      </c>
      <c r="B173" s="3">
        <v>45748</v>
      </c>
      <c r="C173" s="1" t="s">
        <v>15</v>
      </c>
      <c r="D173" s="1" t="s">
        <v>16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  <c r="O173">
        <f t="shared" si="12"/>
        <v>0</v>
      </c>
      <c r="P173">
        <f t="shared" si="13"/>
        <v>0</v>
      </c>
      <c r="Q173">
        <f t="shared" si="14"/>
        <v>0</v>
      </c>
      <c r="R173">
        <f t="shared" si="15"/>
        <v>0</v>
      </c>
      <c r="S173">
        <f t="shared" si="16"/>
        <v>0</v>
      </c>
      <c r="T173">
        <f t="shared" si="17"/>
        <v>0</v>
      </c>
    </row>
    <row r="174" spans="1:20">
      <c r="A174" s="1" t="s">
        <v>65</v>
      </c>
      <c r="B174" s="3">
        <v>45658</v>
      </c>
      <c r="C174" s="1" t="s">
        <v>15</v>
      </c>
      <c r="D174" s="1" t="s">
        <v>16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  <c r="O174">
        <f t="shared" si="12"/>
        <v>0</v>
      </c>
      <c r="P174">
        <f t="shared" si="13"/>
        <v>0</v>
      </c>
      <c r="Q174">
        <f t="shared" si="14"/>
        <v>0</v>
      </c>
      <c r="R174">
        <f t="shared" si="15"/>
        <v>0</v>
      </c>
      <c r="S174">
        <f t="shared" si="16"/>
        <v>0</v>
      </c>
      <c r="T174">
        <f t="shared" si="17"/>
        <v>0</v>
      </c>
    </row>
    <row r="175" spans="1:20">
      <c r="A175" s="1" t="s">
        <v>65</v>
      </c>
      <c r="B175" s="3">
        <v>45689</v>
      </c>
      <c r="C175" s="1" t="s">
        <v>15</v>
      </c>
      <c r="D175" s="1" t="s">
        <v>16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  <c r="O175">
        <f t="shared" si="12"/>
        <v>0</v>
      </c>
      <c r="P175">
        <f t="shared" si="13"/>
        <v>0</v>
      </c>
      <c r="Q175">
        <f t="shared" si="14"/>
        <v>0</v>
      </c>
      <c r="R175">
        <f t="shared" si="15"/>
        <v>0</v>
      </c>
      <c r="S175">
        <f t="shared" si="16"/>
        <v>0</v>
      </c>
      <c r="T175">
        <f t="shared" si="17"/>
        <v>0</v>
      </c>
    </row>
    <row r="176" spans="1:20">
      <c r="A176" s="1" t="s">
        <v>65</v>
      </c>
      <c r="B176" s="3">
        <v>45717</v>
      </c>
      <c r="C176" s="1" t="s">
        <v>15</v>
      </c>
      <c r="D176" s="1" t="s">
        <v>16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  <c r="O176">
        <f t="shared" si="12"/>
        <v>0</v>
      </c>
      <c r="P176">
        <f t="shared" si="13"/>
        <v>0</v>
      </c>
      <c r="Q176">
        <f t="shared" si="14"/>
        <v>0</v>
      </c>
      <c r="R176">
        <f t="shared" si="15"/>
        <v>0</v>
      </c>
      <c r="S176">
        <f t="shared" si="16"/>
        <v>0</v>
      </c>
      <c r="T176">
        <f t="shared" si="17"/>
        <v>0</v>
      </c>
    </row>
    <row r="177" spans="1:20">
      <c r="A177" s="1" t="s">
        <v>65</v>
      </c>
      <c r="B177" s="3">
        <v>45748</v>
      </c>
      <c r="C177" s="1" t="s">
        <v>15</v>
      </c>
      <c r="D177" s="1" t="s">
        <v>16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  <c r="O177">
        <f t="shared" si="12"/>
        <v>0</v>
      </c>
      <c r="P177">
        <f t="shared" si="13"/>
        <v>0</v>
      </c>
      <c r="Q177">
        <f t="shared" si="14"/>
        <v>0</v>
      </c>
      <c r="R177">
        <f t="shared" si="15"/>
        <v>0</v>
      </c>
      <c r="S177">
        <f t="shared" si="16"/>
        <v>0</v>
      </c>
      <c r="T177">
        <f t="shared" si="17"/>
        <v>0</v>
      </c>
    </row>
    <row r="178" spans="1:20">
      <c r="A178" s="1" t="s">
        <v>66</v>
      </c>
      <c r="B178" s="3">
        <v>45658</v>
      </c>
      <c r="C178" s="1" t="s">
        <v>27</v>
      </c>
      <c r="D178" s="1" t="s">
        <v>21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  <c r="O178">
        <f t="shared" si="12"/>
        <v>0</v>
      </c>
      <c r="P178">
        <f t="shared" si="13"/>
        <v>0</v>
      </c>
      <c r="Q178">
        <f t="shared" si="14"/>
        <v>1</v>
      </c>
      <c r="R178">
        <f t="shared" si="15"/>
        <v>0</v>
      </c>
      <c r="S178">
        <f t="shared" si="16"/>
        <v>1</v>
      </c>
      <c r="T178">
        <f t="shared" si="17"/>
        <v>0</v>
      </c>
    </row>
    <row r="179" spans="1:20">
      <c r="A179" s="1" t="s">
        <v>66</v>
      </c>
      <c r="B179" s="3">
        <v>45689</v>
      </c>
      <c r="C179" s="1" t="s">
        <v>27</v>
      </c>
      <c r="D179" s="1" t="s">
        <v>21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  <c r="O179">
        <f t="shared" si="12"/>
        <v>0</v>
      </c>
      <c r="P179">
        <f t="shared" si="13"/>
        <v>0</v>
      </c>
      <c r="Q179">
        <f t="shared" si="14"/>
        <v>1</v>
      </c>
      <c r="R179">
        <f t="shared" si="15"/>
        <v>0</v>
      </c>
      <c r="S179">
        <f t="shared" si="16"/>
        <v>1</v>
      </c>
      <c r="T179">
        <f t="shared" si="17"/>
        <v>0</v>
      </c>
    </row>
    <row r="180" spans="1:20">
      <c r="A180" s="1" t="s">
        <v>66</v>
      </c>
      <c r="B180" s="3">
        <v>45717</v>
      </c>
      <c r="C180" s="1" t="s">
        <v>27</v>
      </c>
      <c r="D180" s="1" t="s">
        <v>21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  <c r="O180">
        <f t="shared" si="12"/>
        <v>0</v>
      </c>
      <c r="P180">
        <f t="shared" si="13"/>
        <v>0</v>
      </c>
      <c r="Q180">
        <f t="shared" si="14"/>
        <v>1</v>
      </c>
      <c r="R180">
        <f t="shared" si="15"/>
        <v>0</v>
      </c>
      <c r="S180">
        <f t="shared" si="16"/>
        <v>1</v>
      </c>
      <c r="T180">
        <f t="shared" si="17"/>
        <v>0</v>
      </c>
    </row>
    <row r="181" spans="1:20">
      <c r="A181" s="1" t="s">
        <v>66</v>
      </c>
      <c r="B181" s="3">
        <v>45748</v>
      </c>
      <c r="C181" s="1" t="s">
        <v>27</v>
      </c>
      <c r="D181" s="1" t="s">
        <v>21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  <c r="O181">
        <f t="shared" si="12"/>
        <v>0</v>
      </c>
      <c r="P181">
        <f t="shared" si="13"/>
        <v>0</v>
      </c>
      <c r="Q181">
        <f t="shared" si="14"/>
        <v>1</v>
      </c>
      <c r="R181">
        <f t="shared" si="15"/>
        <v>0</v>
      </c>
      <c r="S181">
        <f t="shared" si="16"/>
        <v>1</v>
      </c>
      <c r="T181">
        <f t="shared" si="17"/>
        <v>0</v>
      </c>
    </row>
    <row r="182" spans="1:20">
      <c r="A182" s="1" t="s">
        <v>67</v>
      </c>
      <c r="B182" s="3">
        <v>45658</v>
      </c>
      <c r="C182" s="1" t="s">
        <v>27</v>
      </c>
      <c r="D182" s="1" t="s">
        <v>16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  <c r="O182">
        <f t="shared" si="12"/>
        <v>0</v>
      </c>
      <c r="P182">
        <f t="shared" si="13"/>
        <v>0</v>
      </c>
      <c r="Q182">
        <f t="shared" si="14"/>
        <v>1</v>
      </c>
      <c r="R182">
        <f t="shared" si="15"/>
        <v>0</v>
      </c>
      <c r="S182">
        <f t="shared" si="16"/>
        <v>0</v>
      </c>
      <c r="T182">
        <f t="shared" si="17"/>
        <v>0</v>
      </c>
    </row>
    <row r="183" spans="1:20">
      <c r="A183" s="1" t="s">
        <v>67</v>
      </c>
      <c r="B183" s="3">
        <v>45689</v>
      </c>
      <c r="C183" s="1" t="s">
        <v>27</v>
      </c>
      <c r="D183" s="1" t="s">
        <v>16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  <c r="O183">
        <f t="shared" si="12"/>
        <v>0</v>
      </c>
      <c r="P183">
        <f t="shared" si="13"/>
        <v>0</v>
      </c>
      <c r="Q183">
        <f t="shared" si="14"/>
        <v>1</v>
      </c>
      <c r="R183">
        <f t="shared" si="15"/>
        <v>0</v>
      </c>
      <c r="S183">
        <f t="shared" si="16"/>
        <v>0</v>
      </c>
      <c r="T183">
        <f t="shared" si="17"/>
        <v>0</v>
      </c>
    </row>
    <row r="184" spans="1:20">
      <c r="A184" s="1" t="s">
        <v>67</v>
      </c>
      <c r="B184" s="3">
        <v>45717</v>
      </c>
      <c r="C184" s="1" t="s">
        <v>27</v>
      </c>
      <c r="D184" s="1" t="s">
        <v>16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  <c r="O184">
        <f t="shared" si="12"/>
        <v>0</v>
      </c>
      <c r="P184">
        <f t="shared" si="13"/>
        <v>0</v>
      </c>
      <c r="Q184">
        <f t="shared" si="14"/>
        <v>1</v>
      </c>
      <c r="R184">
        <f t="shared" si="15"/>
        <v>0</v>
      </c>
      <c r="S184">
        <f t="shared" si="16"/>
        <v>0</v>
      </c>
      <c r="T184">
        <f t="shared" si="17"/>
        <v>0</v>
      </c>
    </row>
    <row r="185" spans="1:20">
      <c r="A185" s="1" t="s">
        <v>67</v>
      </c>
      <c r="B185" s="3">
        <v>45748</v>
      </c>
      <c r="C185" s="1" t="s">
        <v>27</v>
      </c>
      <c r="D185" s="1" t="s">
        <v>16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  <c r="O185">
        <f t="shared" si="12"/>
        <v>0</v>
      </c>
      <c r="P185">
        <f t="shared" si="13"/>
        <v>0</v>
      </c>
      <c r="Q185">
        <f t="shared" si="14"/>
        <v>1</v>
      </c>
      <c r="R185">
        <f t="shared" si="15"/>
        <v>0</v>
      </c>
      <c r="S185">
        <f t="shared" si="16"/>
        <v>0</v>
      </c>
      <c r="T185">
        <f t="shared" si="17"/>
        <v>0</v>
      </c>
    </row>
    <row r="186" spans="1:20">
      <c r="A186" s="1" t="s">
        <v>68</v>
      </c>
      <c r="B186" s="3">
        <v>45658</v>
      </c>
      <c r="C186" s="1" t="s">
        <v>20</v>
      </c>
      <c r="D186" s="1" t="s">
        <v>18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  <c r="O186">
        <f t="shared" si="12"/>
        <v>1</v>
      </c>
      <c r="P186">
        <f t="shared" si="13"/>
        <v>0</v>
      </c>
      <c r="Q186">
        <f t="shared" si="14"/>
        <v>0</v>
      </c>
      <c r="R186">
        <f t="shared" si="15"/>
        <v>1</v>
      </c>
      <c r="S186">
        <f t="shared" si="16"/>
        <v>0</v>
      </c>
      <c r="T186">
        <f t="shared" si="17"/>
        <v>0</v>
      </c>
    </row>
    <row r="187" spans="1:20">
      <c r="A187" s="1" t="s">
        <v>68</v>
      </c>
      <c r="B187" s="3">
        <v>45689</v>
      </c>
      <c r="C187" s="1" t="s">
        <v>20</v>
      </c>
      <c r="D187" s="1" t="s">
        <v>18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  <c r="O187">
        <f t="shared" si="12"/>
        <v>1</v>
      </c>
      <c r="P187">
        <f t="shared" si="13"/>
        <v>0</v>
      </c>
      <c r="Q187">
        <f t="shared" si="14"/>
        <v>0</v>
      </c>
      <c r="R187">
        <f t="shared" si="15"/>
        <v>1</v>
      </c>
      <c r="S187">
        <f t="shared" si="16"/>
        <v>0</v>
      </c>
      <c r="T187">
        <f t="shared" si="17"/>
        <v>0</v>
      </c>
    </row>
    <row r="188" spans="1:20">
      <c r="A188" s="1" t="s">
        <v>68</v>
      </c>
      <c r="B188" s="3">
        <v>45717</v>
      </c>
      <c r="C188" s="1" t="s">
        <v>20</v>
      </c>
      <c r="D188" s="1" t="s">
        <v>18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  <c r="O188">
        <f t="shared" si="12"/>
        <v>1</v>
      </c>
      <c r="P188">
        <f t="shared" si="13"/>
        <v>0</v>
      </c>
      <c r="Q188">
        <f t="shared" si="14"/>
        <v>0</v>
      </c>
      <c r="R188">
        <f t="shared" si="15"/>
        <v>1</v>
      </c>
      <c r="S188">
        <f t="shared" si="16"/>
        <v>0</v>
      </c>
      <c r="T188">
        <f t="shared" si="17"/>
        <v>0</v>
      </c>
    </row>
    <row r="189" spans="1:20">
      <c r="A189" s="1" t="s">
        <v>68</v>
      </c>
      <c r="B189" s="3">
        <v>45748</v>
      </c>
      <c r="C189" s="1" t="s">
        <v>20</v>
      </c>
      <c r="D189" s="1" t="s">
        <v>18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  <c r="O189">
        <f t="shared" si="12"/>
        <v>1</v>
      </c>
      <c r="P189">
        <f t="shared" si="13"/>
        <v>0</v>
      </c>
      <c r="Q189">
        <f t="shared" si="14"/>
        <v>0</v>
      </c>
      <c r="R189">
        <f t="shared" si="15"/>
        <v>1</v>
      </c>
      <c r="S189">
        <f t="shared" si="16"/>
        <v>0</v>
      </c>
      <c r="T189">
        <f t="shared" si="17"/>
        <v>0</v>
      </c>
    </row>
    <row r="190" spans="1:20">
      <c r="A190" s="1" t="s">
        <v>69</v>
      </c>
      <c r="B190" s="3">
        <v>45658</v>
      </c>
      <c r="C190" s="1" t="s">
        <v>15</v>
      </c>
      <c r="D190" s="1" t="s">
        <v>18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  <c r="O190">
        <f t="shared" si="12"/>
        <v>0</v>
      </c>
      <c r="P190">
        <f t="shared" si="13"/>
        <v>0</v>
      </c>
      <c r="Q190">
        <f t="shared" si="14"/>
        <v>0</v>
      </c>
      <c r="R190">
        <f t="shared" si="15"/>
        <v>1</v>
      </c>
      <c r="S190">
        <f t="shared" si="16"/>
        <v>0</v>
      </c>
      <c r="T190">
        <f t="shared" si="17"/>
        <v>0</v>
      </c>
    </row>
    <row r="191" spans="1:20">
      <c r="A191" s="1" t="s">
        <v>69</v>
      </c>
      <c r="B191" s="3">
        <v>45689</v>
      </c>
      <c r="C191" s="1" t="s">
        <v>15</v>
      </c>
      <c r="D191" s="1" t="s">
        <v>18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  <c r="O191">
        <f t="shared" si="12"/>
        <v>0</v>
      </c>
      <c r="P191">
        <f t="shared" si="13"/>
        <v>0</v>
      </c>
      <c r="Q191">
        <f t="shared" si="14"/>
        <v>0</v>
      </c>
      <c r="R191">
        <f t="shared" si="15"/>
        <v>1</v>
      </c>
      <c r="S191">
        <f t="shared" si="16"/>
        <v>0</v>
      </c>
      <c r="T191">
        <f t="shared" si="17"/>
        <v>0</v>
      </c>
    </row>
    <row r="192" spans="1:20">
      <c r="A192" s="1" t="s">
        <v>69</v>
      </c>
      <c r="B192" s="3">
        <v>45717</v>
      </c>
      <c r="C192" s="1" t="s">
        <v>15</v>
      </c>
      <c r="D192" s="1" t="s">
        <v>18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  <c r="O192">
        <f t="shared" si="12"/>
        <v>0</v>
      </c>
      <c r="P192">
        <f t="shared" si="13"/>
        <v>0</v>
      </c>
      <c r="Q192">
        <f t="shared" si="14"/>
        <v>0</v>
      </c>
      <c r="R192">
        <f t="shared" si="15"/>
        <v>1</v>
      </c>
      <c r="S192">
        <f t="shared" si="16"/>
        <v>0</v>
      </c>
      <c r="T192">
        <f t="shared" si="17"/>
        <v>0</v>
      </c>
    </row>
    <row r="193" spans="1:20">
      <c r="A193" s="1" t="s">
        <v>69</v>
      </c>
      <c r="B193" s="3">
        <v>45748</v>
      </c>
      <c r="C193" s="1" t="s">
        <v>15</v>
      </c>
      <c r="D193" s="1" t="s">
        <v>18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  <c r="O193">
        <f t="shared" si="12"/>
        <v>0</v>
      </c>
      <c r="P193">
        <f t="shared" si="13"/>
        <v>0</v>
      </c>
      <c r="Q193">
        <f t="shared" si="14"/>
        <v>0</v>
      </c>
      <c r="R193">
        <f t="shared" si="15"/>
        <v>1</v>
      </c>
      <c r="S193">
        <f t="shared" si="16"/>
        <v>0</v>
      </c>
      <c r="T193">
        <f t="shared" si="17"/>
        <v>0</v>
      </c>
    </row>
    <row r="194" spans="1:20">
      <c r="A194" s="1" t="s">
        <v>70</v>
      </c>
      <c r="B194" s="3">
        <v>45658</v>
      </c>
      <c r="C194" s="1" t="s">
        <v>27</v>
      </c>
      <c r="D194" s="1" t="s">
        <v>16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  <c r="O194">
        <f t="shared" si="12"/>
        <v>0</v>
      </c>
      <c r="P194">
        <f t="shared" si="13"/>
        <v>0</v>
      </c>
      <c r="Q194">
        <f t="shared" si="14"/>
        <v>1</v>
      </c>
      <c r="R194">
        <f t="shared" si="15"/>
        <v>0</v>
      </c>
      <c r="S194">
        <f t="shared" si="16"/>
        <v>0</v>
      </c>
      <c r="T194">
        <f t="shared" si="17"/>
        <v>0</v>
      </c>
    </row>
    <row r="195" spans="1:20">
      <c r="A195" s="1" t="s">
        <v>70</v>
      </c>
      <c r="B195" s="3">
        <v>45689</v>
      </c>
      <c r="C195" s="1" t="s">
        <v>27</v>
      </c>
      <c r="D195" s="1" t="s">
        <v>16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  <c r="O195">
        <f t="shared" ref="O195:O258" si="18">IF(C195="North",1,0)</f>
        <v>0</v>
      </c>
      <c r="P195">
        <f t="shared" ref="P195:P258" si="19">IF(C195="South",1,0)</f>
        <v>0</v>
      </c>
      <c r="Q195">
        <f t="shared" ref="Q195:Q258" si="20">IF(C195="West",1,0)</f>
        <v>1</v>
      </c>
      <c r="R195">
        <f t="shared" ref="R195:R258" si="21">IF(D195="High Street",1,0)</f>
        <v>0</v>
      </c>
      <c r="S195">
        <f t="shared" ref="S195:S258" si="22">IF(D195="Airport",1,0)</f>
        <v>0</v>
      </c>
      <c r="T195">
        <f t="shared" ref="T195:T258" si="23">IF(D195="Mall",1,0)</f>
        <v>0</v>
      </c>
    </row>
    <row r="196" spans="1:20">
      <c r="A196" s="1" t="s">
        <v>70</v>
      </c>
      <c r="B196" s="3">
        <v>45717</v>
      </c>
      <c r="C196" s="1" t="s">
        <v>27</v>
      </c>
      <c r="D196" s="1" t="s">
        <v>16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  <c r="O196">
        <f t="shared" si="18"/>
        <v>0</v>
      </c>
      <c r="P196">
        <f t="shared" si="19"/>
        <v>0</v>
      </c>
      <c r="Q196">
        <f t="shared" si="20"/>
        <v>1</v>
      </c>
      <c r="R196">
        <f t="shared" si="21"/>
        <v>0</v>
      </c>
      <c r="S196">
        <f t="shared" si="22"/>
        <v>0</v>
      </c>
      <c r="T196">
        <f t="shared" si="23"/>
        <v>0</v>
      </c>
    </row>
    <row r="197" spans="1:20">
      <c r="A197" s="1" t="s">
        <v>70</v>
      </c>
      <c r="B197" s="3">
        <v>45748</v>
      </c>
      <c r="C197" s="1" t="s">
        <v>27</v>
      </c>
      <c r="D197" s="1" t="s">
        <v>16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>
        <v>3.92</v>
      </c>
      <c r="M197" s="1">
        <v>449465.06</v>
      </c>
      <c r="N197" s="1">
        <v>65694.78</v>
      </c>
      <c r="O197">
        <f t="shared" si="18"/>
        <v>0</v>
      </c>
      <c r="P197">
        <f t="shared" si="19"/>
        <v>0</v>
      </c>
      <c r="Q197">
        <f t="shared" si="20"/>
        <v>1</v>
      </c>
      <c r="R197">
        <f t="shared" si="21"/>
        <v>0</v>
      </c>
      <c r="S197">
        <f t="shared" si="22"/>
        <v>0</v>
      </c>
      <c r="T197">
        <f t="shared" si="23"/>
        <v>0</v>
      </c>
    </row>
    <row r="198" spans="1:20">
      <c r="A198" s="1" t="s">
        <v>71</v>
      </c>
      <c r="B198" s="3">
        <v>45658</v>
      </c>
      <c r="C198" s="1" t="s">
        <v>20</v>
      </c>
      <c r="D198" s="1" t="s">
        <v>16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  <c r="O198">
        <f t="shared" si="18"/>
        <v>1</v>
      </c>
      <c r="P198">
        <f t="shared" si="19"/>
        <v>0</v>
      </c>
      <c r="Q198">
        <f t="shared" si="20"/>
        <v>0</v>
      </c>
      <c r="R198">
        <f t="shared" si="21"/>
        <v>0</v>
      </c>
      <c r="S198">
        <f t="shared" si="22"/>
        <v>0</v>
      </c>
      <c r="T198">
        <f t="shared" si="23"/>
        <v>0</v>
      </c>
    </row>
    <row r="199" spans="1:20">
      <c r="A199" s="1" t="s">
        <v>71</v>
      </c>
      <c r="B199" s="3">
        <v>45689</v>
      </c>
      <c r="C199" s="1" t="s">
        <v>20</v>
      </c>
      <c r="D199" s="1" t="s">
        <v>16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  <c r="O199">
        <f t="shared" si="18"/>
        <v>1</v>
      </c>
      <c r="P199">
        <f t="shared" si="19"/>
        <v>0</v>
      </c>
      <c r="Q199">
        <f t="shared" si="20"/>
        <v>0</v>
      </c>
      <c r="R199">
        <f t="shared" si="21"/>
        <v>0</v>
      </c>
      <c r="S199">
        <f t="shared" si="22"/>
        <v>0</v>
      </c>
      <c r="T199">
        <f t="shared" si="23"/>
        <v>0</v>
      </c>
    </row>
    <row r="200" spans="1:20">
      <c r="A200" s="1" t="s">
        <v>71</v>
      </c>
      <c r="B200" s="3">
        <v>45717</v>
      </c>
      <c r="C200" s="1" t="s">
        <v>20</v>
      </c>
      <c r="D200" s="1" t="s">
        <v>16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  <c r="O200">
        <f t="shared" si="18"/>
        <v>1</v>
      </c>
      <c r="P200">
        <f t="shared" si="19"/>
        <v>0</v>
      </c>
      <c r="Q200">
        <f t="shared" si="20"/>
        <v>0</v>
      </c>
      <c r="R200">
        <f t="shared" si="21"/>
        <v>0</v>
      </c>
      <c r="S200">
        <f t="shared" si="22"/>
        <v>0</v>
      </c>
      <c r="T200">
        <f t="shared" si="23"/>
        <v>0</v>
      </c>
    </row>
    <row r="201" spans="1:20">
      <c r="A201" s="1" t="s">
        <v>71</v>
      </c>
      <c r="B201" s="3">
        <v>45748</v>
      </c>
      <c r="C201" s="1" t="s">
        <v>20</v>
      </c>
      <c r="D201" s="1" t="s">
        <v>16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  <c r="O201">
        <f t="shared" si="18"/>
        <v>1</v>
      </c>
      <c r="P201">
        <f t="shared" si="19"/>
        <v>0</v>
      </c>
      <c r="Q201">
        <f t="shared" si="20"/>
        <v>0</v>
      </c>
      <c r="R201">
        <f t="shared" si="21"/>
        <v>0</v>
      </c>
      <c r="S201">
        <f t="shared" si="22"/>
        <v>0</v>
      </c>
      <c r="T201">
        <f t="shared" si="23"/>
        <v>0</v>
      </c>
    </row>
    <row r="202" spans="1:20">
      <c r="A202" s="1" t="s">
        <v>72</v>
      </c>
      <c r="B202" s="3">
        <v>45658</v>
      </c>
      <c r="C202" s="1" t="s">
        <v>15</v>
      </c>
      <c r="D202" s="1" t="s">
        <v>21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  <c r="O202">
        <f t="shared" si="18"/>
        <v>0</v>
      </c>
      <c r="P202">
        <f t="shared" si="19"/>
        <v>0</v>
      </c>
      <c r="Q202">
        <f t="shared" si="20"/>
        <v>0</v>
      </c>
      <c r="R202">
        <f t="shared" si="21"/>
        <v>0</v>
      </c>
      <c r="S202">
        <f t="shared" si="22"/>
        <v>1</v>
      </c>
      <c r="T202">
        <f t="shared" si="23"/>
        <v>0</v>
      </c>
    </row>
    <row r="203" spans="1:20">
      <c r="A203" s="1" t="s">
        <v>72</v>
      </c>
      <c r="B203" s="3">
        <v>45689</v>
      </c>
      <c r="C203" s="1" t="s">
        <v>15</v>
      </c>
      <c r="D203" s="1" t="s">
        <v>21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  <c r="O203">
        <f t="shared" si="18"/>
        <v>0</v>
      </c>
      <c r="P203">
        <f t="shared" si="19"/>
        <v>0</v>
      </c>
      <c r="Q203">
        <f t="shared" si="20"/>
        <v>0</v>
      </c>
      <c r="R203">
        <f t="shared" si="21"/>
        <v>0</v>
      </c>
      <c r="S203">
        <f t="shared" si="22"/>
        <v>1</v>
      </c>
      <c r="T203">
        <f t="shared" si="23"/>
        <v>0</v>
      </c>
    </row>
    <row r="204" spans="1:20">
      <c r="A204" s="1" t="s">
        <v>72</v>
      </c>
      <c r="B204" s="3">
        <v>45717</v>
      </c>
      <c r="C204" s="1" t="s">
        <v>15</v>
      </c>
      <c r="D204" s="1" t="s">
        <v>21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  <c r="O204">
        <f t="shared" si="18"/>
        <v>0</v>
      </c>
      <c r="P204">
        <f t="shared" si="19"/>
        <v>0</v>
      </c>
      <c r="Q204">
        <f t="shared" si="20"/>
        <v>0</v>
      </c>
      <c r="R204">
        <f t="shared" si="21"/>
        <v>0</v>
      </c>
      <c r="S204">
        <f t="shared" si="22"/>
        <v>1</v>
      </c>
      <c r="T204">
        <f t="shared" si="23"/>
        <v>0</v>
      </c>
    </row>
    <row r="205" spans="1:20">
      <c r="A205" s="1" t="s">
        <v>72</v>
      </c>
      <c r="B205" s="3">
        <v>45748</v>
      </c>
      <c r="C205" s="1" t="s">
        <v>15</v>
      </c>
      <c r="D205" s="1" t="s">
        <v>21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  <c r="O205">
        <f t="shared" si="18"/>
        <v>0</v>
      </c>
      <c r="P205">
        <f t="shared" si="19"/>
        <v>0</v>
      </c>
      <c r="Q205">
        <f t="shared" si="20"/>
        <v>0</v>
      </c>
      <c r="R205">
        <f t="shared" si="21"/>
        <v>0</v>
      </c>
      <c r="S205">
        <f t="shared" si="22"/>
        <v>1</v>
      </c>
      <c r="T205">
        <f t="shared" si="23"/>
        <v>0</v>
      </c>
    </row>
    <row r="206" spans="1:20">
      <c r="A206" s="1" t="s">
        <v>73</v>
      </c>
      <c r="B206" s="3">
        <v>45658</v>
      </c>
      <c r="C206" s="1" t="s">
        <v>15</v>
      </c>
      <c r="D206" s="1" t="s">
        <v>28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  <c r="O206">
        <f t="shared" si="18"/>
        <v>0</v>
      </c>
      <c r="P206">
        <f t="shared" si="19"/>
        <v>0</v>
      </c>
      <c r="Q206">
        <f t="shared" si="20"/>
        <v>0</v>
      </c>
      <c r="R206">
        <f t="shared" si="21"/>
        <v>0</v>
      </c>
      <c r="S206">
        <f t="shared" si="22"/>
        <v>0</v>
      </c>
      <c r="T206">
        <f t="shared" si="23"/>
        <v>1</v>
      </c>
    </row>
    <row r="207" spans="1:20">
      <c r="A207" s="1" t="s">
        <v>73</v>
      </c>
      <c r="B207" s="3">
        <v>45689</v>
      </c>
      <c r="C207" s="1" t="s">
        <v>15</v>
      </c>
      <c r="D207" s="1" t="s">
        <v>28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  <c r="O207">
        <f t="shared" si="18"/>
        <v>0</v>
      </c>
      <c r="P207">
        <f t="shared" si="19"/>
        <v>0</v>
      </c>
      <c r="Q207">
        <f t="shared" si="20"/>
        <v>0</v>
      </c>
      <c r="R207">
        <f t="shared" si="21"/>
        <v>0</v>
      </c>
      <c r="S207">
        <f t="shared" si="22"/>
        <v>0</v>
      </c>
      <c r="T207">
        <f t="shared" si="23"/>
        <v>1</v>
      </c>
    </row>
    <row r="208" spans="1:20">
      <c r="A208" s="1" t="s">
        <v>73</v>
      </c>
      <c r="B208" s="3">
        <v>45717</v>
      </c>
      <c r="C208" s="1" t="s">
        <v>15</v>
      </c>
      <c r="D208" s="1" t="s">
        <v>28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  <c r="O208">
        <f t="shared" si="18"/>
        <v>0</v>
      </c>
      <c r="P208">
        <f t="shared" si="19"/>
        <v>0</v>
      </c>
      <c r="Q208">
        <f t="shared" si="20"/>
        <v>0</v>
      </c>
      <c r="R208">
        <f t="shared" si="21"/>
        <v>0</v>
      </c>
      <c r="S208">
        <f t="shared" si="22"/>
        <v>0</v>
      </c>
      <c r="T208">
        <f t="shared" si="23"/>
        <v>1</v>
      </c>
    </row>
    <row r="209" spans="1:20">
      <c r="A209" s="1" t="s">
        <v>73</v>
      </c>
      <c r="B209" s="3">
        <v>45748</v>
      </c>
      <c r="C209" s="1" t="s">
        <v>15</v>
      </c>
      <c r="D209" s="1" t="s">
        <v>28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  <c r="O209">
        <f t="shared" si="18"/>
        <v>0</v>
      </c>
      <c r="P209">
        <f t="shared" si="19"/>
        <v>0</v>
      </c>
      <c r="Q209">
        <f t="shared" si="20"/>
        <v>0</v>
      </c>
      <c r="R209">
        <f t="shared" si="21"/>
        <v>0</v>
      </c>
      <c r="S209">
        <f t="shared" si="22"/>
        <v>0</v>
      </c>
      <c r="T209">
        <f t="shared" si="23"/>
        <v>1</v>
      </c>
    </row>
    <row r="210" spans="1:20">
      <c r="A210" s="1" t="s">
        <v>74</v>
      </c>
      <c r="B210" s="3">
        <v>45658</v>
      </c>
      <c r="C210" s="1" t="s">
        <v>15</v>
      </c>
      <c r="D210" s="1" t="s">
        <v>18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  <c r="O210">
        <f t="shared" si="18"/>
        <v>0</v>
      </c>
      <c r="P210">
        <f t="shared" si="19"/>
        <v>0</v>
      </c>
      <c r="Q210">
        <f t="shared" si="20"/>
        <v>0</v>
      </c>
      <c r="R210">
        <f t="shared" si="21"/>
        <v>1</v>
      </c>
      <c r="S210">
        <f t="shared" si="22"/>
        <v>0</v>
      </c>
      <c r="T210">
        <f t="shared" si="23"/>
        <v>0</v>
      </c>
    </row>
    <row r="211" spans="1:20">
      <c r="A211" s="1" t="s">
        <v>74</v>
      </c>
      <c r="B211" s="3">
        <v>45689</v>
      </c>
      <c r="C211" s="1" t="s">
        <v>15</v>
      </c>
      <c r="D211" s="1" t="s">
        <v>18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  <c r="O211">
        <f t="shared" si="18"/>
        <v>0</v>
      </c>
      <c r="P211">
        <f t="shared" si="19"/>
        <v>0</v>
      </c>
      <c r="Q211">
        <f t="shared" si="20"/>
        <v>0</v>
      </c>
      <c r="R211">
        <f t="shared" si="21"/>
        <v>1</v>
      </c>
      <c r="S211">
        <f t="shared" si="22"/>
        <v>0</v>
      </c>
      <c r="T211">
        <f t="shared" si="23"/>
        <v>0</v>
      </c>
    </row>
    <row r="212" spans="1:20">
      <c r="A212" s="1" t="s">
        <v>74</v>
      </c>
      <c r="B212" s="3">
        <v>45717</v>
      </c>
      <c r="C212" s="1" t="s">
        <v>15</v>
      </c>
      <c r="D212" s="1" t="s">
        <v>18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  <c r="O212">
        <f t="shared" si="18"/>
        <v>0</v>
      </c>
      <c r="P212">
        <f t="shared" si="19"/>
        <v>0</v>
      </c>
      <c r="Q212">
        <f t="shared" si="20"/>
        <v>0</v>
      </c>
      <c r="R212">
        <f t="shared" si="21"/>
        <v>1</v>
      </c>
      <c r="S212">
        <f t="shared" si="22"/>
        <v>0</v>
      </c>
      <c r="T212">
        <f t="shared" si="23"/>
        <v>0</v>
      </c>
    </row>
    <row r="213" spans="1:20">
      <c r="A213" s="1" t="s">
        <v>74</v>
      </c>
      <c r="B213" s="3">
        <v>45748</v>
      </c>
      <c r="C213" s="1" t="s">
        <v>15</v>
      </c>
      <c r="D213" s="1" t="s">
        <v>18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  <c r="O213">
        <f t="shared" si="18"/>
        <v>0</v>
      </c>
      <c r="P213">
        <f t="shared" si="19"/>
        <v>0</v>
      </c>
      <c r="Q213">
        <f t="shared" si="20"/>
        <v>0</v>
      </c>
      <c r="R213">
        <f t="shared" si="21"/>
        <v>1</v>
      </c>
      <c r="S213">
        <f t="shared" si="22"/>
        <v>0</v>
      </c>
      <c r="T213">
        <f t="shared" si="23"/>
        <v>0</v>
      </c>
    </row>
    <row r="214" spans="1:20">
      <c r="A214" s="1" t="s">
        <v>75</v>
      </c>
      <c r="B214" s="3">
        <v>45658</v>
      </c>
      <c r="C214" s="1" t="s">
        <v>27</v>
      </c>
      <c r="D214" s="1" t="s">
        <v>16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  <c r="O214">
        <f t="shared" si="18"/>
        <v>0</v>
      </c>
      <c r="P214">
        <f t="shared" si="19"/>
        <v>0</v>
      </c>
      <c r="Q214">
        <f t="shared" si="20"/>
        <v>1</v>
      </c>
      <c r="R214">
        <f t="shared" si="21"/>
        <v>0</v>
      </c>
      <c r="S214">
        <f t="shared" si="22"/>
        <v>0</v>
      </c>
      <c r="T214">
        <f t="shared" si="23"/>
        <v>0</v>
      </c>
    </row>
    <row r="215" spans="1:20">
      <c r="A215" s="1" t="s">
        <v>75</v>
      </c>
      <c r="B215" s="3">
        <v>45689</v>
      </c>
      <c r="C215" s="1" t="s">
        <v>27</v>
      </c>
      <c r="D215" s="1" t="s">
        <v>16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  <c r="O215">
        <f t="shared" si="18"/>
        <v>0</v>
      </c>
      <c r="P215">
        <f t="shared" si="19"/>
        <v>0</v>
      </c>
      <c r="Q215">
        <f t="shared" si="20"/>
        <v>1</v>
      </c>
      <c r="R215">
        <f t="shared" si="21"/>
        <v>0</v>
      </c>
      <c r="S215">
        <f t="shared" si="22"/>
        <v>0</v>
      </c>
      <c r="T215">
        <f t="shared" si="23"/>
        <v>0</v>
      </c>
    </row>
    <row r="216" spans="1:20">
      <c r="A216" s="1" t="s">
        <v>75</v>
      </c>
      <c r="B216" s="3">
        <v>45717</v>
      </c>
      <c r="C216" s="1" t="s">
        <v>27</v>
      </c>
      <c r="D216" s="1" t="s">
        <v>16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  <c r="O216">
        <f t="shared" si="18"/>
        <v>0</v>
      </c>
      <c r="P216">
        <f t="shared" si="19"/>
        <v>0</v>
      </c>
      <c r="Q216">
        <f t="shared" si="20"/>
        <v>1</v>
      </c>
      <c r="R216">
        <f t="shared" si="21"/>
        <v>0</v>
      </c>
      <c r="S216">
        <f t="shared" si="22"/>
        <v>0</v>
      </c>
      <c r="T216">
        <f t="shared" si="23"/>
        <v>0</v>
      </c>
    </row>
    <row r="217" spans="1:20">
      <c r="A217" s="1" t="s">
        <v>75</v>
      </c>
      <c r="B217" s="3">
        <v>45748</v>
      </c>
      <c r="C217" s="1" t="s">
        <v>27</v>
      </c>
      <c r="D217" s="1" t="s">
        <v>16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  <c r="O217">
        <f t="shared" si="18"/>
        <v>0</v>
      </c>
      <c r="P217">
        <f t="shared" si="19"/>
        <v>0</v>
      </c>
      <c r="Q217">
        <f t="shared" si="20"/>
        <v>1</v>
      </c>
      <c r="R217">
        <f t="shared" si="21"/>
        <v>0</v>
      </c>
      <c r="S217">
        <f t="shared" si="22"/>
        <v>0</v>
      </c>
      <c r="T217">
        <f t="shared" si="23"/>
        <v>0</v>
      </c>
    </row>
    <row r="218" spans="1:20">
      <c r="A218" s="1" t="s">
        <v>76</v>
      </c>
      <c r="B218" s="3">
        <v>45658</v>
      </c>
      <c r="C218" s="1" t="s">
        <v>20</v>
      </c>
      <c r="D218" s="1" t="s">
        <v>21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  <c r="O218">
        <f t="shared" si="18"/>
        <v>1</v>
      </c>
      <c r="P218">
        <f t="shared" si="19"/>
        <v>0</v>
      </c>
      <c r="Q218">
        <f t="shared" si="20"/>
        <v>0</v>
      </c>
      <c r="R218">
        <f t="shared" si="21"/>
        <v>0</v>
      </c>
      <c r="S218">
        <f t="shared" si="22"/>
        <v>1</v>
      </c>
      <c r="T218">
        <f t="shared" si="23"/>
        <v>0</v>
      </c>
    </row>
    <row r="219" spans="1:20">
      <c r="A219" s="1" t="s">
        <v>76</v>
      </c>
      <c r="B219" s="3">
        <v>45689</v>
      </c>
      <c r="C219" s="1" t="s">
        <v>20</v>
      </c>
      <c r="D219" s="1" t="s">
        <v>21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  <c r="O219">
        <f t="shared" si="18"/>
        <v>1</v>
      </c>
      <c r="P219">
        <f t="shared" si="19"/>
        <v>0</v>
      </c>
      <c r="Q219">
        <f t="shared" si="20"/>
        <v>0</v>
      </c>
      <c r="R219">
        <f t="shared" si="21"/>
        <v>0</v>
      </c>
      <c r="S219">
        <f t="shared" si="22"/>
        <v>1</v>
      </c>
      <c r="T219">
        <f t="shared" si="23"/>
        <v>0</v>
      </c>
    </row>
    <row r="220" spans="1:20">
      <c r="A220" s="1" t="s">
        <v>76</v>
      </c>
      <c r="B220" s="3">
        <v>45717</v>
      </c>
      <c r="C220" s="1" t="s">
        <v>20</v>
      </c>
      <c r="D220" s="1" t="s">
        <v>21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  <c r="O220">
        <f t="shared" si="18"/>
        <v>1</v>
      </c>
      <c r="P220">
        <f t="shared" si="19"/>
        <v>0</v>
      </c>
      <c r="Q220">
        <f t="shared" si="20"/>
        <v>0</v>
      </c>
      <c r="R220">
        <f t="shared" si="21"/>
        <v>0</v>
      </c>
      <c r="S220">
        <f t="shared" si="22"/>
        <v>1</v>
      </c>
      <c r="T220">
        <f t="shared" si="23"/>
        <v>0</v>
      </c>
    </row>
    <row r="221" spans="1:20">
      <c r="A221" s="1" t="s">
        <v>76</v>
      </c>
      <c r="B221" s="3">
        <v>45748</v>
      </c>
      <c r="C221" s="1" t="s">
        <v>20</v>
      </c>
      <c r="D221" s="1" t="s">
        <v>21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  <c r="O221">
        <f t="shared" si="18"/>
        <v>1</v>
      </c>
      <c r="P221">
        <f t="shared" si="19"/>
        <v>0</v>
      </c>
      <c r="Q221">
        <f t="shared" si="20"/>
        <v>0</v>
      </c>
      <c r="R221">
        <f t="shared" si="21"/>
        <v>0</v>
      </c>
      <c r="S221">
        <f t="shared" si="22"/>
        <v>1</v>
      </c>
      <c r="T221">
        <f t="shared" si="23"/>
        <v>0</v>
      </c>
    </row>
    <row r="222" spans="1:20">
      <c r="A222" s="1" t="s">
        <v>77</v>
      </c>
      <c r="B222" s="3">
        <v>45658</v>
      </c>
      <c r="C222" s="1" t="s">
        <v>15</v>
      </c>
      <c r="D222" s="1" t="s">
        <v>18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  <c r="O222">
        <f t="shared" si="18"/>
        <v>0</v>
      </c>
      <c r="P222">
        <f t="shared" si="19"/>
        <v>0</v>
      </c>
      <c r="Q222">
        <f t="shared" si="20"/>
        <v>0</v>
      </c>
      <c r="R222">
        <f t="shared" si="21"/>
        <v>1</v>
      </c>
      <c r="S222">
        <f t="shared" si="22"/>
        <v>0</v>
      </c>
      <c r="T222">
        <f t="shared" si="23"/>
        <v>0</v>
      </c>
    </row>
    <row r="223" spans="1:20">
      <c r="A223" s="1" t="s">
        <v>77</v>
      </c>
      <c r="B223" s="3">
        <v>45689</v>
      </c>
      <c r="C223" s="1" t="s">
        <v>15</v>
      </c>
      <c r="D223" s="1" t="s">
        <v>18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  <c r="O223">
        <f t="shared" si="18"/>
        <v>0</v>
      </c>
      <c r="P223">
        <f t="shared" si="19"/>
        <v>0</v>
      </c>
      <c r="Q223">
        <f t="shared" si="20"/>
        <v>0</v>
      </c>
      <c r="R223">
        <f t="shared" si="21"/>
        <v>1</v>
      </c>
      <c r="S223">
        <f t="shared" si="22"/>
        <v>0</v>
      </c>
      <c r="T223">
        <f t="shared" si="23"/>
        <v>0</v>
      </c>
    </row>
    <row r="224" spans="1:20">
      <c r="A224" s="1" t="s">
        <v>77</v>
      </c>
      <c r="B224" s="3">
        <v>45717</v>
      </c>
      <c r="C224" s="1" t="s">
        <v>15</v>
      </c>
      <c r="D224" s="1" t="s">
        <v>18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  <c r="O224">
        <f t="shared" si="18"/>
        <v>0</v>
      </c>
      <c r="P224">
        <f t="shared" si="19"/>
        <v>0</v>
      </c>
      <c r="Q224">
        <f t="shared" si="20"/>
        <v>0</v>
      </c>
      <c r="R224">
        <f t="shared" si="21"/>
        <v>1</v>
      </c>
      <c r="S224">
        <f t="shared" si="22"/>
        <v>0</v>
      </c>
      <c r="T224">
        <f t="shared" si="23"/>
        <v>0</v>
      </c>
    </row>
    <row r="225" spans="1:20">
      <c r="A225" s="1" t="s">
        <v>77</v>
      </c>
      <c r="B225" s="3">
        <v>45748</v>
      </c>
      <c r="C225" s="1" t="s">
        <v>15</v>
      </c>
      <c r="D225" s="1" t="s">
        <v>18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  <c r="O225">
        <f t="shared" si="18"/>
        <v>0</v>
      </c>
      <c r="P225">
        <f t="shared" si="19"/>
        <v>0</v>
      </c>
      <c r="Q225">
        <f t="shared" si="20"/>
        <v>0</v>
      </c>
      <c r="R225">
        <f t="shared" si="21"/>
        <v>1</v>
      </c>
      <c r="S225">
        <f t="shared" si="22"/>
        <v>0</v>
      </c>
      <c r="T225">
        <f t="shared" si="23"/>
        <v>0</v>
      </c>
    </row>
    <row r="226" spans="1:20">
      <c r="A226" s="1" t="s">
        <v>78</v>
      </c>
      <c r="B226" s="3">
        <v>45658</v>
      </c>
      <c r="C226" s="1" t="s">
        <v>15</v>
      </c>
      <c r="D226" s="1" t="s">
        <v>28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  <c r="O226">
        <f t="shared" si="18"/>
        <v>0</v>
      </c>
      <c r="P226">
        <f t="shared" si="19"/>
        <v>0</v>
      </c>
      <c r="Q226">
        <f t="shared" si="20"/>
        <v>0</v>
      </c>
      <c r="R226">
        <f t="shared" si="21"/>
        <v>0</v>
      </c>
      <c r="S226">
        <f t="shared" si="22"/>
        <v>0</v>
      </c>
      <c r="T226">
        <f t="shared" si="23"/>
        <v>1</v>
      </c>
    </row>
    <row r="227" spans="1:20">
      <c r="A227" s="1" t="s">
        <v>78</v>
      </c>
      <c r="B227" s="3">
        <v>45689</v>
      </c>
      <c r="C227" s="1" t="s">
        <v>15</v>
      </c>
      <c r="D227" s="1" t="s">
        <v>28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  <c r="O227">
        <f t="shared" si="18"/>
        <v>0</v>
      </c>
      <c r="P227">
        <f t="shared" si="19"/>
        <v>0</v>
      </c>
      <c r="Q227">
        <f t="shared" si="20"/>
        <v>0</v>
      </c>
      <c r="R227">
        <f t="shared" si="21"/>
        <v>0</v>
      </c>
      <c r="S227">
        <f t="shared" si="22"/>
        <v>0</v>
      </c>
      <c r="T227">
        <f t="shared" si="23"/>
        <v>1</v>
      </c>
    </row>
    <row r="228" spans="1:20">
      <c r="A228" s="1" t="s">
        <v>78</v>
      </c>
      <c r="B228" s="3">
        <v>45717</v>
      </c>
      <c r="C228" s="1" t="s">
        <v>15</v>
      </c>
      <c r="D228" s="1" t="s">
        <v>28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  <c r="O228">
        <f t="shared" si="18"/>
        <v>0</v>
      </c>
      <c r="P228">
        <f t="shared" si="19"/>
        <v>0</v>
      </c>
      <c r="Q228">
        <f t="shared" si="20"/>
        <v>0</v>
      </c>
      <c r="R228">
        <f t="shared" si="21"/>
        <v>0</v>
      </c>
      <c r="S228">
        <f t="shared" si="22"/>
        <v>0</v>
      </c>
      <c r="T228">
        <f t="shared" si="23"/>
        <v>1</v>
      </c>
    </row>
    <row r="229" spans="1:20">
      <c r="A229" s="1" t="s">
        <v>78</v>
      </c>
      <c r="B229" s="3">
        <v>45748</v>
      </c>
      <c r="C229" s="1" t="s">
        <v>15</v>
      </c>
      <c r="D229" s="1" t="s">
        <v>28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>
        <v>3.92</v>
      </c>
      <c r="M229" s="1">
        <v>529598.93999999994</v>
      </c>
      <c r="N229" s="1">
        <v>84334.33</v>
      </c>
      <c r="O229">
        <f t="shared" si="18"/>
        <v>0</v>
      </c>
      <c r="P229">
        <f t="shared" si="19"/>
        <v>0</v>
      </c>
      <c r="Q229">
        <f t="shared" si="20"/>
        <v>0</v>
      </c>
      <c r="R229">
        <f t="shared" si="21"/>
        <v>0</v>
      </c>
      <c r="S229">
        <f t="shared" si="22"/>
        <v>0</v>
      </c>
      <c r="T229">
        <f t="shared" si="23"/>
        <v>1</v>
      </c>
    </row>
    <row r="230" spans="1:20">
      <c r="A230" s="1" t="s">
        <v>79</v>
      </c>
      <c r="B230" s="3">
        <v>45658</v>
      </c>
      <c r="C230" s="1" t="s">
        <v>15</v>
      </c>
      <c r="D230" s="1" t="s">
        <v>18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  <c r="O230">
        <f t="shared" si="18"/>
        <v>0</v>
      </c>
      <c r="P230">
        <f t="shared" si="19"/>
        <v>0</v>
      </c>
      <c r="Q230">
        <f t="shared" si="20"/>
        <v>0</v>
      </c>
      <c r="R230">
        <f t="shared" si="21"/>
        <v>1</v>
      </c>
      <c r="S230">
        <f t="shared" si="22"/>
        <v>0</v>
      </c>
      <c r="T230">
        <f t="shared" si="23"/>
        <v>0</v>
      </c>
    </row>
    <row r="231" spans="1:20">
      <c r="A231" s="1" t="s">
        <v>79</v>
      </c>
      <c r="B231" s="3">
        <v>45689</v>
      </c>
      <c r="C231" s="1" t="s">
        <v>15</v>
      </c>
      <c r="D231" s="1" t="s">
        <v>18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  <c r="O231">
        <f t="shared" si="18"/>
        <v>0</v>
      </c>
      <c r="P231">
        <f t="shared" si="19"/>
        <v>0</v>
      </c>
      <c r="Q231">
        <f t="shared" si="20"/>
        <v>0</v>
      </c>
      <c r="R231">
        <f t="shared" si="21"/>
        <v>1</v>
      </c>
      <c r="S231">
        <f t="shared" si="22"/>
        <v>0</v>
      </c>
      <c r="T231">
        <f t="shared" si="23"/>
        <v>0</v>
      </c>
    </row>
    <row r="232" spans="1:20">
      <c r="A232" s="1" t="s">
        <v>79</v>
      </c>
      <c r="B232" s="3">
        <v>45717</v>
      </c>
      <c r="C232" s="1" t="s">
        <v>15</v>
      </c>
      <c r="D232" s="1" t="s">
        <v>18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  <c r="O232">
        <f t="shared" si="18"/>
        <v>0</v>
      </c>
      <c r="P232">
        <f t="shared" si="19"/>
        <v>0</v>
      </c>
      <c r="Q232">
        <f t="shared" si="20"/>
        <v>0</v>
      </c>
      <c r="R232">
        <f t="shared" si="21"/>
        <v>1</v>
      </c>
      <c r="S232">
        <f t="shared" si="22"/>
        <v>0</v>
      </c>
      <c r="T232">
        <f t="shared" si="23"/>
        <v>0</v>
      </c>
    </row>
    <row r="233" spans="1:20">
      <c r="A233" s="1" t="s">
        <v>79</v>
      </c>
      <c r="B233" s="3">
        <v>45748</v>
      </c>
      <c r="C233" s="1" t="s">
        <v>15</v>
      </c>
      <c r="D233" s="1" t="s">
        <v>18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>
        <v>4.5590450000000002</v>
      </c>
      <c r="K233" s="1">
        <v>0</v>
      </c>
      <c r="L233" s="1">
        <v>3.7</v>
      </c>
      <c r="M233" s="1">
        <v>647512.85</v>
      </c>
      <c r="N233" s="1">
        <v>153835.57</v>
      </c>
      <c r="O233">
        <f t="shared" si="18"/>
        <v>0</v>
      </c>
      <c r="P233">
        <f t="shared" si="19"/>
        <v>0</v>
      </c>
      <c r="Q233">
        <f t="shared" si="20"/>
        <v>0</v>
      </c>
      <c r="R233">
        <f t="shared" si="21"/>
        <v>1</v>
      </c>
      <c r="S233">
        <f t="shared" si="22"/>
        <v>0</v>
      </c>
      <c r="T233">
        <f t="shared" si="23"/>
        <v>0</v>
      </c>
    </row>
    <row r="234" spans="1:20">
      <c r="A234" s="1" t="s">
        <v>80</v>
      </c>
      <c r="B234" s="3">
        <v>45658</v>
      </c>
      <c r="C234" s="1" t="s">
        <v>27</v>
      </c>
      <c r="D234" s="1" t="s">
        <v>16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  <c r="O234">
        <f t="shared" si="18"/>
        <v>0</v>
      </c>
      <c r="P234">
        <f t="shared" si="19"/>
        <v>0</v>
      </c>
      <c r="Q234">
        <f t="shared" si="20"/>
        <v>1</v>
      </c>
      <c r="R234">
        <f t="shared" si="21"/>
        <v>0</v>
      </c>
      <c r="S234">
        <f t="shared" si="22"/>
        <v>0</v>
      </c>
      <c r="T234">
        <f t="shared" si="23"/>
        <v>0</v>
      </c>
    </row>
    <row r="235" spans="1:20">
      <c r="A235" s="1" t="s">
        <v>80</v>
      </c>
      <c r="B235" s="3">
        <v>45689</v>
      </c>
      <c r="C235" s="1" t="s">
        <v>27</v>
      </c>
      <c r="D235" s="1" t="s">
        <v>16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  <c r="O235">
        <f t="shared" si="18"/>
        <v>0</v>
      </c>
      <c r="P235">
        <f t="shared" si="19"/>
        <v>0</v>
      </c>
      <c r="Q235">
        <f t="shared" si="20"/>
        <v>1</v>
      </c>
      <c r="R235">
        <f t="shared" si="21"/>
        <v>0</v>
      </c>
      <c r="S235">
        <f t="shared" si="22"/>
        <v>0</v>
      </c>
      <c r="T235">
        <f t="shared" si="23"/>
        <v>0</v>
      </c>
    </row>
    <row r="236" spans="1:20">
      <c r="A236" s="1" t="s">
        <v>80</v>
      </c>
      <c r="B236" s="3">
        <v>45717</v>
      </c>
      <c r="C236" s="1" t="s">
        <v>27</v>
      </c>
      <c r="D236" s="1" t="s">
        <v>16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  <c r="O236">
        <f t="shared" si="18"/>
        <v>0</v>
      </c>
      <c r="P236">
        <f t="shared" si="19"/>
        <v>0</v>
      </c>
      <c r="Q236">
        <f t="shared" si="20"/>
        <v>1</v>
      </c>
      <c r="R236">
        <f t="shared" si="21"/>
        <v>0</v>
      </c>
      <c r="S236">
        <f t="shared" si="22"/>
        <v>0</v>
      </c>
      <c r="T236">
        <f t="shared" si="23"/>
        <v>0</v>
      </c>
    </row>
    <row r="237" spans="1:20">
      <c r="A237" s="1" t="s">
        <v>80</v>
      </c>
      <c r="B237" s="3">
        <v>45748</v>
      </c>
      <c r="C237" s="1" t="s">
        <v>27</v>
      </c>
      <c r="D237" s="1" t="s">
        <v>16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  <c r="O237">
        <f t="shared" si="18"/>
        <v>0</v>
      </c>
      <c r="P237">
        <f t="shared" si="19"/>
        <v>0</v>
      </c>
      <c r="Q237">
        <f t="shared" si="20"/>
        <v>1</v>
      </c>
      <c r="R237">
        <f t="shared" si="21"/>
        <v>0</v>
      </c>
      <c r="S237">
        <f t="shared" si="22"/>
        <v>0</v>
      </c>
      <c r="T237">
        <f t="shared" si="23"/>
        <v>0</v>
      </c>
    </row>
    <row r="238" spans="1:20">
      <c r="A238" s="1" t="s">
        <v>81</v>
      </c>
      <c r="B238" s="3">
        <v>45658</v>
      </c>
      <c r="C238" s="1" t="s">
        <v>27</v>
      </c>
      <c r="D238" s="1" t="s">
        <v>28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  <c r="O238">
        <f t="shared" si="18"/>
        <v>0</v>
      </c>
      <c r="P238">
        <f t="shared" si="19"/>
        <v>0</v>
      </c>
      <c r="Q238">
        <f t="shared" si="20"/>
        <v>1</v>
      </c>
      <c r="R238">
        <f t="shared" si="21"/>
        <v>0</v>
      </c>
      <c r="S238">
        <f t="shared" si="22"/>
        <v>0</v>
      </c>
      <c r="T238">
        <f t="shared" si="23"/>
        <v>1</v>
      </c>
    </row>
    <row r="239" spans="1:20">
      <c r="A239" s="1" t="s">
        <v>81</v>
      </c>
      <c r="B239" s="3">
        <v>45689</v>
      </c>
      <c r="C239" s="1" t="s">
        <v>27</v>
      </c>
      <c r="D239" s="1" t="s">
        <v>28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  <c r="O239">
        <f t="shared" si="18"/>
        <v>0</v>
      </c>
      <c r="P239">
        <f t="shared" si="19"/>
        <v>0</v>
      </c>
      <c r="Q239">
        <f t="shared" si="20"/>
        <v>1</v>
      </c>
      <c r="R239">
        <f t="shared" si="21"/>
        <v>0</v>
      </c>
      <c r="S239">
        <f t="shared" si="22"/>
        <v>0</v>
      </c>
      <c r="T239">
        <f t="shared" si="23"/>
        <v>1</v>
      </c>
    </row>
    <row r="240" spans="1:20">
      <c r="A240" s="1" t="s">
        <v>81</v>
      </c>
      <c r="B240" s="3">
        <v>45717</v>
      </c>
      <c r="C240" s="1" t="s">
        <v>27</v>
      </c>
      <c r="D240" s="1" t="s">
        <v>28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  <c r="O240">
        <f t="shared" si="18"/>
        <v>0</v>
      </c>
      <c r="P240">
        <f t="shared" si="19"/>
        <v>0</v>
      </c>
      <c r="Q240">
        <f t="shared" si="20"/>
        <v>1</v>
      </c>
      <c r="R240">
        <f t="shared" si="21"/>
        <v>0</v>
      </c>
      <c r="S240">
        <f t="shared" si="22"/>
        <v>0</v>
      </c>
      <c r="T240">
        <f t="shared" si="23"/>
        <v>1</v>
      </c>
    </row>
    <row r="241" spans="1:20">
      <c r="A241" s="1" t="s">
        <v>81</v>
      </c>
      <c r="B241" s="3">
        <v>45748</v>
      </c>
      <c r="C241" s="1" t="s">
        <v>27</v>
      </c>
      <c r="D241" s="1" t="s">
        <v>28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  <c r="O241">
        <f t="shared" si="18"/>
        <v>0</v>
      </c>
      <c r="P241">
        <f t="shared" si="19"/>
        <v>0</v>
      </c>
      <c r="Q241">
        <f t="shared" si="20"/>
        <v>1</v>
      </c>
      <c r="R241">
        <f t="shared" si="21"/>
        <v>0</v>
      </c>
      <c r="S241">
        <f t="shared" si="22"/>
        <v>0</v>
      </c>
      <c r="T241">
        <f t="shared" si="23"/>
        <v>1</v>
      </c>
    </row>
    <row r="242" spans="1:20">
      <c r="A242" s="1" t="s">
        <v>82</v>
      </c>
      <c r="B242" s="3">
        <v>45658</v>
      </c>
      <c r="C242" s="1" t="s">
        <v>24</v>
      </c>
      <c r="D242" s="1" t="s">
        <v>21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  <c r="O242">
        <f t="shared" si="18"/>
        <v>0</v>
      </c>
      <c r="P242">
        <f t="shared" si="19"/>
        <v>1</v>
      </c>
      <c r="Q242">
        <f t="shared" si="20"/>
        <v>0</v>
      </c>
      <c r="R242">
        <f t="shared" si="21"/>
        <v>0</v>
      </c>
      <c r="S242">
        <f t="shared" si="22"/>
        <v>1</v>
      </c>
      <c r="T242">
        <f t="shared" si="23"/>
        <v>0</v>
      </c>
    </row>
    <row r="243" spans="1:20">
      <c r="A243" s="1" t="s">
        <v>82</v>
      </c>
      <c r="B243" s="3">
        <v>45689</v>
      </c>
      <c r="C243" s="1" t="s">
        <v>24</v>
      </c>
      <c r="D243" s="1" t="s">
        <v>21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  <c r="O243">
        <f t="shared" si="18"/>
        <v>0</v>
      </c>
      <c r="P243">
        <f t="shared" si="19"/>
        <v>1</v>
      </c>
      <c r="Q243">
        <f t="shared" si="20"/>
        <v>0</v>
      </c>
      <c r="R243">
        <f t="shared" si="21"/>
        <v>0</v>
      </c>
      <c r="S243">
        <f t="shared" si="22"/>
        <v>1</v>
      </c>
      <c r="T243">
        <f t="shared" si="23"/>
        <v>0</v>
      </c>
    </row>
    <row r="244" spans="1:20">
      <c r="A244" s="1" t="s">
        <v>82</v>
      </c>
      <c r="B244" s="3">
        <v>45717</v>
      </c>
      <c r="C244" s="1" t="s">
        <v>24</v>
      </c>
      <c r="D244" s="1" t="s">
        <v>21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  <c r="O244">
        <f t="shared" si="18"/>
        <v>0</v>
      </c>
      <c r="P244">
        <f t="shared" si="19"/>
        <v>1</v>
      </c>
      <c r="Q244">
        <f t="shared" si="20"/>
        <v>0</v>
      </c>
      <c r="R244">
        <f t="shared" si="21"/>
        <v>0</v>
      </c>
      <c r="S244">
        <f t="shared" si="22"/>
        <v>1</v>
      </c>
      <c r="T244">
        <f t="shared" si="23"/>
        <v>0</v>
      </c>
    </row>
    <row r="245" spans="1:20">
      <c r="A245" s="1" t="s">
        <v>82</v>
      </c>
      <c r="B245" s="3">
        <v>45748</v>
      </c>
      <c r="C245" s="1" t="s">
        <v>24</v>
      </c>
      <c r="D245" s="1" t="s">
        <v>21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  <c r="O245">
        <f t="shared" si="18"/>
        <v>0</v>
      </c>
      <c r="P245">
        <f t="shared" si="19"/>
        <v>1</v>
      </c>
      <c r="Q245">
        <f t="shared" si="20"/>
        <v>0</v>
      </c>
      <c r="R245">
        <f t="shared" si="21"/>
        <v>0</v>
      </c>
      <c r="S245">
        <f t="shared" si="22"/>
        <v>1</v>
      </c>
      <c r="T245">
        <f t="shared" si="23"/>
        <v>0</v>
      </c>
    </row>
    <row r="246" spans="1:20">
      <c r="A246" s="1" t="s">
        <v>83</v>
      </c>
      <c r="B246" s="3">
        <v>45658</v>
      </c>
      <c r="C246" s="1" t="s">
        <v>15</v>
      </c>
      <c r="D246" s="1" t="s">
        <v>18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  <c r="O246">
        <f t="shared" si="18"/>
        <v>0</v>
      </c>
      <c r="P246">
        <f t="shared" si="19"/>
        <v>0</v>
      </c>
      <c r="Q246">
        <f t="shared" si="20"/>
        <v>0</v>
      </c>
      <c r="R246">
        <f t="shared" si="21"/>
        <v>1</v>
      </c>
      <c r="S246">
        <f t="shared" si="22"/>
        <v>0</v>
      </c>
      <c r="T246">
        <f t="shared" si="23"/>
        <v>0</v>
      </c>
    </row>
    <row r="247" spans="1:20">
      <c r="A247" s="1" t="s">
        <v>83</v>
      </c>
      <c r="B247" s="3">
        <v>45689</v>
      </c>
      <c r="C247" s="1" t="s">
        <v>15</v>
      </c>
      <c r="D247" s="1" t="s">
        <v>18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  <c r="O247">
        <f t="shared" si="18"/>
        <v>0</v>
      </c>
      <c r="P247">
        <f t="shared" si="19"/>
        <v>0</v>
      </c>
      <c r="Q247">
        <f t="shared" si="20"/>
        <v>0</v>
      </c>
      <c r="R247">
        <f t="shared" si="21"/>
        <v>1</v>
      </c>
      <c r="S247">
        <f t="shared" si="22"/>
        <v>0</v>
      </c>
      <c r="T247">
        <f t="shared" si="23"/>
        <v>0</v>
      </c>
    </row>
    <row r="248" spans="1:20">
      <c r="A248" s="1" t="s">
        <v>83</v>
      </c>
      <c r="B248" s="3">
        <v>45717</v>
      </c>
      <c r="C248" s="1" t="s">
        <v>15</v>
      </c>
      <c r="D248" s="1" t="s">
        <v>18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  <c r="O248">
        <f t="shared" si="18"/>
        <v>0</v>
      </c>
      <c r="P248">
        <f t="shared" si="19"/>
        <v>0</v>
      </c>
      <c r="Q248">
        <f t="shared" si="20"/>
        <v>0</v>
      </c>
      <c r="R248">
        <f t="shared" si="21"/>
        <v>1</v>
      </c>
      <c r="S248">
        <f t="shared" si="22"/>
        <v>0</v>
      </c>
      <c r="T248">
        <f t="shared" si="23"/>
        <v>0</v>
      </c>
    </row>
    <row r="249" spans="1:20">
      <c r="A249" s="1" t="s">
        <v>83</v>
      </c>
      <c r="B249" s="3">
        <v>45748</v>
      </c>
      <c r="C249" s="1" t="s">
        <v>15</v>
      </c>
      <c r="D249" s="1" t="s">
        <v>18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  <c r="O249">
        <f t="shared" si="18"/>
        <v>0</v>
      </c>
      <c r="P249">
        <f t="shared" si="19"/>
        <v>0</v>
      </c>
      <c r="Q249">
        <f t="shared" si="20"/>
        <v>0</v>
      </c>
      <c r="R249">
        <f t="shared" si="21"/>
        <v>1</v>
      </c>
      <c r="S249">
        <f t="shared" si="22"/>
        <v>0</v>
      </c>
      <c r="T249">
        <f t="shared" si="23"/>
        <v>0</v>
      </c>
    </row>
    <row r="250" spans="1:20">
      <c r="A250" s="1" t="s">
        <v>84</v>
      </c>
      <c r="B250" s="3">
        <v>45658</v>
      </c>
      <c r="C250" s="1" t="s">
        <v>20</v>
      </c>
      <c r="D250" s="1" t="s">
        <v>18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>
        <v>4.5590450000000002</v>
      </c>
      <c r="K250" s="1">
        <v>0</v>
      </c>
      <c r="L250" s="1">
        <v>3.8</v>
      </c>
      <c r="M250" s="1">
        <v>606783.67000000004</v>
      </c>
      <c r="N250" s="1">
        <v>74515.87</v>
      </c>
      <c r="O250">
        <f t="shared" si="18"/>
        <v>1</v>
      </c>
      <c r="P250">
        <f t="shared" si="19"/>
        <v>0</v>
      </c>
      <c r="Q250">
        <f t="shared" si="20"/>
        <v>0</v>
      </c>
      <c r="R250">
        <f t="shared" si="21"/>
        <v>1</v>
      </c>
      <c r="S250">
        <f t="shared" si="22"/>
        <v>0</v>
      </c>
      <c r="T250">
        <f t="shared" si="23"/>
        <v>0</v>
      </c>
    </row>
    <row r="251" spans="1:20">
      <c r="A251" s="1" t="s">
        <v>84</v>
      </c>
      <c r="B251" s="3">
        <v>45689</v>
      </c>
      <c r="C251" s="1" t="s">
        <v>20</v>
      </c>
      <c r="D251" s="1" t="s">
        <v>18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  <c r="O251">
        <f t="shared" si="18"/>
        <v>1</v>
      </c>
      <c r="P251">
        <f t="shared" si="19"/>
        <v>0</v>
      </c>
      <c r="Q251">
        <f t="shared" si="20"/>
        <v>0</v>
      </c>
      <c r="R251">
        <f t="shared" si="21"/>
        <v>1</v>
      </c>
      <c r="S251">
        <f t="shared" si="22"/>
        <v>0</v>
      </c>
      <c r="T251">
        <f t="shared" si="23"/>
        <v>0</v>
      </c>
    </row>
    <row r="252" spans="1:20">
      <c r="A252" s="1" t="s">
        <v>84</v>
      </c>
      <c r="B252" s="3">
        <v>45717</v>
      </c>
      <c r="C252" s="1" t="s">
        <v>20</v>
      </c>
      <c r="D252" s="1" t="s">
        <v>18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  <c r="O252">
        <f t="shared" si="18"/>
        <v>1</v>
      </c>
      <c r="P252">
        <f t="shared" si="19"/>
        <v>0</v>
      </c>
      <c r="Q252">
        <f t="shared" si="20"/>
        <v>0</v>
      </c>
      <c r="R252">
        <f t="shared" si="21"/>
        <v>1</v>
      </c>
      <c r="S252">
        <f t="shared" si="22"/>
        <v>0</v>
      </c>
      <c r="T252">
        <f t="shared" si="23"/>
        <v>0</v>
      </c>
    </row>
    <row r="253" spans="1:20">
      <c r="A253" s="1" t="s">
        <v>84</v>
      </c>
      <c r="B253" s="3">
        <v>45748</v>
      </c>
      <c r="C253" s="1" t="s">
        <v>20</v>
      </c>
      <c r="D253" s="1" t="s">
        <v>18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  <c r="O253">
        <f t="shared" si="18"/>
        <v>1</v>
      </c>
      <c r="P253">
        <f t="shared" si="19"/>
        <v>0</v>
      </c>
      <c r="Q253">
        <f t="shared" si="20"/>
        <v>0</v>
      </c>
      <c r="R253">
        <f t="shared" si="21"/>
        <v>1</v>
      </c>
      <c r="S253">
        <f t="shared" si="22"/>
        <v>0</v>
      </c>
      <c r="T253">
        <f t="shared" si="23"/>
        <v>0</v>
      </c>
    </row>
    <row r="254" spans="1:20">
      <c r="A254" s="1" t="s">
        <v>85</v>
      </c>
      <c r="B254" s="3">
        <v>45658</v>
      </c>
      <c r="C254" s="1" t="s">
        <v>24</v>
      </c>
      <c r="D254" s="1" t="s">
        <v>21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  <c r="O254">
        <f t="shared" si="18"/>
        <v>0</v>
      </c>
      <c r="P254">
        <f t="shared" si="19"/>
        <v>1</v>
      </c>
      <c r="Q254">
        <f t="shared" si="20"/>
        <v>0</v>
      </c>
      <c r="R254">
        <f t="shared" si="21"/>
        <v>0</v>
      </c>
      <c r="S254">
        <f t="shared" si="22"/>
        <v>1</v>
      </c>
      <c r="T254">
        <f t="shared" si="23"/>
        <v>0</v>
      </c>
    </row>
    <row r="255" spans="1:20">
      <c r="A255" s="1" t="s">
        <v>85</v>
      </c>
      <c r="B255" s="3">
        <v>45689</v>
      </c>
      <c r="C255" s="1" t="s">
        <v>24</v>
      </c>
      <c r="D255" s="1" t="s">
        <v>21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  <c r="O255">
        <f t="shared" si="18"/>
        <v>0</v>
      </c>
      <c r="P255">
        <f t="shared" si="19"/>
        <v>1</v>
      </c>
      <c r="Q255">
        <f t="shared" si="20"/>
        <v>0</v>
      </c>
      <c r="R255">
        <f t="shared" si="21"/>
        <v>0</v>
      </c>
      <c r="S255">
        <f t="shared" si="22"/>
        <v>1</v>
      </c>
      <c r="T255">
        <f t="shared" si="23"/>
        <v>0</v>
      </c>
    </row>
    <row r="256" spans="1:20">
      <c r="A256" s="1" t="s">
        <v>85</v>
      </c>
      <c r="B256" s="3">
        <v>45717</v>
      </c>
      <c r="C256" s="1" t="s">
        <v>24</v>
      </c>
      <c r="D256" s="1" t="s">
        <v>21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  <c r="O256">
        <f t="shared" si="18"/>
        <v>0</v>
      </c>
      <c r="P256">
        <f t="shared" si="19"/>
        <v>1</v>
      </c>
      <c r="Q256">
        <f t="shared" si="20"/>
        <v>0</v>
      </c>
      <c r="R256">
        <f t="shared" si="21"/>
        <v>0</v>
      </c>
      <c r="S256">
        <f t="shared" si="22"/>
        <v>1</v>
      </c>
      <c r="T256">
        <f t="shared" si="23"/>
        <v>0</v>
      </c>
    </row>
    <row r="257" spans="1:20">
      <c r="A257" s="1" t="s">
        <v>85</v>
      </c>
      <c r="B257" s="3">
        <v>45748</v>
      </c>
      <c r="C257" s="1" t="s">
        <v>24</v>
      </c>
      <c r="D257" s="1" t="s">
        <v>21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  <c r="O257">
        <f t="shared" si="18"/>
        <v>0</v>
      </c>
      <c r="P257">
        <f t="shared" si="19"/>
        <v>1</v>
      </c>
      <c r="Q257">
        <f t="shared" si="20"/>
        <v>0</v>
      </c>
      <c r="R257">
        <f t="shared" si="21"/>
        <v>0</v>
      </c>
      <c r="S257">
        <f t="shared" si="22"/>
        <v>1</v>
      </c>
      <c r="T257">
        <f t="shared" si="23"/>
        <v>0</v>
      </c>
    </row>
    <row r="258" spans="1:20">
      <c r="A258" s="1" t="s">
        <v>86</v>
      </c>
      <c r="B258" s="3">
        <v>45658</v>
      </c>
      <c r="C258" s="1" t="s">
        <v>24</v>
      </c>
      <c r="D258" s="1" t="s">
        <v>28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  <c r="O258">
        <f t="shared" si="18"/>
        <v>0</v>
      </c>
      <c r="P258">
        <f t="shared" si="19"/>
        <v>1</v>
      </c>
      <c r="Q258">
        <f t="shared" si="20"/>
        <v>0</v>
      </c>
      <c r="R258">
        <f t="shared" si="21"/>
        <v>0</v>
      </c>
      <c r="S258">
        <f t="shared" si="22"/>
        <v>0</v>
      </c>
      <c r="T258">
        <f t="shared" si="23"/>
        <v>1</v>
      </c>
    </row>
    <row r="259" spans="1:20">
      <c r="A259" s="1" t="s">
        <v>86</v>
      </c>
      <c r="B259" s="3">
        <v>45689</v>
      </c>
      <c r="C259" s="1" t="s">
        <v>24</v>
      </c>
      <c r="D259" s="1" t="s">
        <v>28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  <c r="O259">
        <f t="shared" ref="O259:O321" si="24">IF(C259="North",1,0)</f>
        <v>0</v>
      </c>
      <c r="P259">
        <f t="shared" ref="P259:P321" si="25">IF(C259="South",1,0)</f>
        <v>1</v>
      </c>
      <c r="Q259">
        <f t="shared" ref="Q259:Q321" si="26">IF(C259="West",1,0)</f>
        <v>0</v>
      </c>
      <c r="R259">
        <f t="shared" ref="R259:R321" si="27">IF(D259="High Street",1,0)</f>
        <v>0</v>
      </c>
      <c r="S259">
        <f t="shared" ref="S259:S321" si="28">IF(D259="Airport",1,0)</f>
        <v>0</v>
      </c>
      <c r="T259">
        <f t="shared" ref="T259:T321" si="29">IF(D259="Mall",1,0)</f>
        <v>1</v>
      </c>
    </row>
    <row r="260" spans="1:20">
      <c r="A260" s="1" t="s">
        <v>86</v>
      </c>
      <c r="B260" s="3">
        <v>45717</v>
      </c>
      <c r="C260" s="1" t="s">
        <v>24</v>
      </c>
      <c r="D260" s="1" t="s">
        <v>28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  <c r="O260">
        <f t="shared" si="24"/>
        <v>0</v>
      </c>
      <c r="P260">
        <f t="shared" si="25"/>
        <v>1</v>
      </c>
      <c r="Q260">
        <f t="shared" si="26"/>
        <v>0</v>
      </c>
      <c r="R260">
        <f t="shared" si="27"/>
        <v>0</v>
      </c>
      <c r="S260">
        <f t="shared" si="28"/>
        <v>0</v>
      </c>
      <c r="T260">
        <f t="shared" si="29"/>
        <v>1</v>
      </c>
    </row>
    <row r="261" spans="1:20">
      <c r="A261" s="1" t="s">
        <v>86</v>
      </c>
      <c r="B261" s="3">
        <v>45748</v>
      </c>
      <c r="C261" s="1" t="s">
        <v>24</v>
      </c>
      <c r="D261" s="1" t="s">
        <v>28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  <c r="O261">
        <f t="shared" si="24"/>
        <v>0</v>
      </c>
      <c r="P261">
        <f t="shared" si="25"/>
        <v>1</v>
      </c>
      <c r="Q261">
        <f t="shared" si="26"/>
        <v>0</v>
      </c>
      <c r="R261">
        <f t="shared" si="27"/>
        <v>0</v>
      </c>
      <c r="S261">
        <f t="shared" si="28"/>
        <v>0</v>
      </c>
      <c r="T261">
        <f t="shared" si="29"/>
        <v>1</v>
      </c>
    </row>
    <row r="262" spans="1:20">
      <c r="A262" s="1" t="s">
        <v>87</v>
      </c>
      <c r="B262" s="3">
        <v>45658</v>
      </c>
      <c r="C262" s="1" t="s">
        <v>27</v>
      </c>
      <c r="D262" s="1" t="s">
        <v>18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  <c r="O262">
        <f t="shared" si="24"/>
        <v>0</v>
      </c>
      <c r="P262">
        <f t="shared" si="25"/>
        <v>0</v>
      </c>
      <c r="Q262">
        <f t="shared" si="26"/>
        <v>1</v>
      </c>
      <c r="R262">
        <f t="shared" si="27"/>
        <v>1</v>
      </c>
      <c r="S262">
        <f t="shared" si="28"/>
        <v>0</v>
      </c>
      <c r="T262">
        <f t="shared" si="29"/>
        <v>0</v>
      </c>
    </row>
    <row r="263" spans="1:20">
      <c r="A263" s="1" t="s">
        <v>87</v>
      </c>
      <c r="B263" s="3">
        <v>45689</v>
      </c>
      <c r="C263" s="1" t="s">
        <v>27</v>
      </c>
      <c r="D263" s="1" t="s">
        <v>18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>
        <v>4.5590450000000002</v>
      </c>
      <c r="K263" s="1">
        <v>0</v>
      </c>
      <c r="L263" s="1">
        <v>4.2</v>
      </c>
      <c r="M263" s="1">
        <v>605751.32999999996</v>
      </c>
      <c r="N263" s="1">
        <v>60685.53</v>
      </c>
      <c r="O263">
        <f t="shared" si="24"/>
        <v>0</v>
      </c>
      <c r="P263">
        <f t="shared" si="25"/>
        <v>0</v>
      </c>
      <c r="Q263">
        <f t="shared" si="26"/>
        <v>1</v>
      </c>
      <c r="R263">
        <f t="shared" si="27"/>
        <v>1</v>
      </c>
      <c r="S263">
        <f t="shared" si="28"/>
        <v>0</v>
      </c>
      <c r="T263">
        <f t="shared" si="29"/>
        <v>0</v>
      </c>
    </row>
    <row r="264" spans="1:20">
      <c r="A264" s="1" t="s">
        <v>87</v>
      </c>
      <c r="B264" s="3">
        <v>45717</v>
      </c>
      <c r="C264" s="1" t="s">
        <v>27</v>
      </c>
      <c r="D264" s="1" t="s">
        <v>18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  <c r="O264">
        <f t="shared" si="24"/>
        <v>0</v>
      </c>
      <c r="P264">
        <f t="shared" si="25"/>
        <v>0</v>
      </c>
      <c r="Q264">
        <f t="shared" si="26"/>
        <v>1</v>
      </c>
      <c r="R264">
        <f t="shared" si="27"/>
        <v>1</v>
      </c>
      <c r="S264">
        <f t="shared" si="28"/>
        <v>0</v>
      </c>
      <c r="T264">
        <f t="shared" si="29"/>
        <v>0</v>
      </c>
    </row>
    <row r="265" spans="1:20">
      <c r="A265" s="1" t="s">
        <v>87</v>
      </c>
      <c r="B265" s="3">
        <v>45748</v>
      </c>
      <c r="C265" s="1" t="s">
        <v>27</v>
      </c>
      <c r="D265" s="1" t="s">
        <v>18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  <c r="O265">
        <f t="shared" si="24"/>
        <v>0</v>
      </c>
      <c r="P265">
        <f t="shared" si="25"/>
        <v>0</v>
      </c>
      <c r="Q265">
        <f t="shared" si="26"/>
        <v>1</v>
      </c>
      <c r="R265">
        <f t="shared" si="27"/>
        <v>1</v>
      </c>
      <c r="S265">
        <f t="shared" si="28"/>
        <v>0</v>
      </c>
      <c r="T265">
        <f t="shared" si="29"/>
        <v>0</v>
      </c>
    </row>
    <row r="266" spans="1:20">
      <c r="A266" s="1" t="s">
        <v>88</v>
      </c>
      <c r="B266" s="3">
        <v>45658</v>
      </c>
      <c r="C266" s="1" t="s">
        <v>15</v>
      </c>
      <c r="D266" s="1" t="s">
        <v>18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  <c r="O266">
        <f t="shared" si="24"/>
        <v>0</v>
      </c>
      <c r="P266">
        <f t="shared" si="25"/>
        <v>0</v>
      </c>
      <c r="Q266">
        <f t="shared" si="26"/>
        <v>0</v>
      </c>
      <c r="R266">
        <f t="shared" si="27"/>
        <v>1</v>
      </c>
      <c r="S266">
        <f t="shared" si="28"/>
        <v>0</v>
      </c>
      <c r="T266">
        <f t="shared" si="29"/>
        <v>0</v>
      </c>
    </row>
    <row r="267" spans="1:20">
      <c r="A267" s="1" t="s">
        <v>88</v>
      </c>
      <c r="B267" s="3">
        <v>45689</v>
      </c>
      <c r="C267" s="1" t="s">
        <v>15</v>
      </c>
      <c r="D267" s="1" t="s">
        <v>18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  <c r="O267">
        <f t="shared" si="24"/>
        <v>0</v>
      </c>
      <c r="P267">
        <f t="shared" si="25"/>
        <v>0</v>
      </c>
      <c r="Q267">
        <f t="shared" si="26"/>
        <v>0</v>
      </c>
      <c r="R267">
        <f t="shared" si="27"/>
        <v>1</v>
      </c>
      <c r="S267">
        <f t="shared" si="28"/>
        <v>0</v>
      </c>
      <c r="T267">
        <f t="shared" si="29"/>
        <v>0</v>
      </c>
    </row>
    <row r="268" spans="1:20">
      <c r="A268" s="1" t="s">
        <v>88</v>
      </c>
      <c r="B268" s="3">
        <v>45717</v>
      </c>
      <c r="C268" s="1" t="s">
        <v>15</v>
      </c>
      <c r="D268" s="1" t="s">
        <v>18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  <c r="O268">
        <f t="shared" si="24"/>
        <v>0</v>
      </c>
      <c r="P268">
        <f t="shared" si="25"/>
        <v>0</v>
      </c>
      <c r="Q268">
        <f t="shared" si="26"/>
        <v>0</v>
      </c>
      <c r="R268">
        <f t="shared" si="27"/>
        <v>1</v>
      </c>
      <c r="S268">
        <f t="shared" si="28"/>
        <v>0</v>
      </c>
      <c r="T268">
        <f t="shared" si="29"/>
        <v>0</v>
      </c>
    </row>
    <row r="269" spans="1:20">
      <c r="A269" s="1" t="s">
        <v>88</v>
      </c>
      <c r="B269" s="3">
        <v>45748</v>
      </c>
      <c r="C269" s="1" t="s">
        <v>15</v>
      </c>
      <c r="D269" s="1" t="s">
        <v>18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  <c r="O269">
        <f t="shared" si="24"/>
        <v>0</v>
      </c>
      <c r="P269">
        <f t="shared" si="25"/>
        <v>0</v>
      </c>
      <c r="Q269">
        <f t="shared" si="26"/>
        <v>0</v>
      </c>
      <c r="R269">
        <f t="shared" si="27"/>
        <v>1</v>
      </c>
      <c r="S269">
        <f t="shared" si="28"/>
        <v>0</v>
      </c>
      <c r="T269">
        <f t="shared" si="29"/>
        <v>0</v>
      </c>
    </row>
    <row r="270" spans="1:20">
      <c r="A270" s="1" t="s">
        <v>89</v>
      </c>
      <c r="B270" s="3">
        <v>45658</v>
      </c>
      <c r="C270" s="1" t="s">
        <v>15</v>
      </c>
      <c r="D270" s="1" t="s">
        <v>28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  <c r="O270">
        <f t="shared" si="24"/>
        <v>0</v>
      </c>
      <c r="P270">
        <f t="shared" si="25"/>
        <v>0</v>
      </c>
      <c r="Q270">
        <f t="shared" si="26"/>
        <v>0</v>
      </c>
      <c r="R270">
        <f t="shared" si="27"/>
        <v>0</v>
      </c>
      <c r="S270">
        <f t="shared" si="28"/>
        <v>0</v>
      </c>
      <c r="T270">
        <f t="shared" si="29"/>
        <v>1</v>
      </c>
    </row>
    <row r="271" spans="1:20">
      <c r="A271" s="1" t="s">
        <v>89</v>
      </c>
      <c r="B271" s="3">
        <v>45689</v>
      </c>
      <c r="C271" s="1" t="s">
        <v>15</v>
      </c>
      <c r="D271" s="1" t="s">
        <v>28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  <c r="O271">
        <f t="shared" si="24"/>
        <v>0</v>
      </c>
      <c r="P271">
        <f t="shared" si="25"/>
        <v>0</v>
      </c>
      <c r="Q271">
        <f t="shared" si="26"/>
        <v>0</v>
      </c>
      <c r="R271">
        <f t="shared" si="27"/>
        <v>0</v>
      </c>
      <c r="S271">
        <f t="shared" si="28"/>
        <v>0</v>
      </c>
      <c r="T271">
        <f t="shared" si="29"/>
        <v>1</v>
      </c>
    </row>
    <row r="272" spans="1:20">
      <c r="A272" s="1" t="s">
        <v>89</v>
      </c>
      <c r="B272" s="3">
        <v>45717</v>
      </c>
      <c r="C272" s="1" t="s">
        <v>15</v>
      </c>
      <c r="D272" s="1" t="s">
        <v>28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  <c r="O272">
        <f t="shared" si="24"/>
        <v>0</v>
      </c>
      <c r="P272">
        <f t="shared" si="25"/>
        <v>0</v>
      </c>
      <c r="Q272">
        <f t="shared" si="26"/>
        <v>0</v>
      </c>
      <c r="R272">
        <f t="shared" si="27"/>
        <v>0</v>
      </c>
      <c r="S272">
        <f t="shared" si="28"/>
        <v>0</v>
      </c>
      <c r="T272">
        <f t="shared" si="29"/>
        <v>1</v>
      </c>
    </row>
    <row r="273" spans="1:20">
      <c r="A273" s="1" t="s">
        <v>89</v>
      </c>
      <c r="B273" s="3">
        <v>45748</v>
      </c>
      <c r="C273" s="1" t="s">
        <v>15</v>
      </c>
      <c r="D273" s="1" t="s">
        <v>28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  <c r="O273">
        <f t="shared" si="24"/>
        <v>0</v>
      </c>
      <c r="P273">
        <f t="shared" si="25"/>
        <v>0</v>
      </c>
      <c r="Q273">
        <f t="shared" si="26"/>
        <v>0</v>
      </c>
      <c r="R273">
        <f t="shared" si="27"/>
        <v>0</v>
      </c>
      <c r="S273">
        <f t="shared" si="28"/>
        <v>0</v>
      </c>
      <c r="T273">
        <f t="shared" si="29"/>
        <v>1</v>
      </c>
    </row>
    <row r="274" spans="1:20">
      <c r="A274" s="1" t="s">
        <v>90</v>
      </c>
      <c r="B274" s="3">
        <v>45658</v>
      </c>
      <c r="C274" s="1" t="s">
        <v>27</v>
      </c>
      <c r="D274" s="1" t="s">
        <v>18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  <c r="O274">
        <f t="shared" si="24"/>
        <v>0</v>
      </c>
      <c r="P274">
        <f t="shared" si="25"/>
        <v>0</v>
      </c>
      <c r="Q274">
        <f t="shared" si="26"/>
        <v>1</v>
      </c>
      <c r="R274">
        <f t="shared" si="27"/>
        <v>1</v>
      </c>
      <c r="S274">
        <f t="shared" si="28"/>
        <v>0</v>
      </c>
      <c r="T274">
        <f t="shared" si="29"/>
        <v>0</v>
      </c>
    </row>
    <row r="275" spans="1:20">
      <c r="A275" s="1" t="s">
        <v>90</v>
      </c>
      <c r="B275" s="3">
        <v>45689</v>
      </c>
      <c r="C275" s="1" t="s">
        <v>27</v>
      </c>
      <c r="D275" s="1" t="s">
        <v>18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  <c r="O275">
        <f t="shared" si="24"/>
        <v>0</v>
      </c>
      <c r="P275">
        <f t="shared" si="25"/>
        <v>0</v>
      </c>
      <c r="Q275">
        <f t="shared" si="26"/>
        <v>1</v>
      </c>
      <c r="R275">
        <f t="shared" si="27"/>
        <v>1</v>
      </c>
      <c r="S275">
        <f t="shared" si="28"/>
        <v>0</v>
      </c>
      <c r="T275">
        <f t="shared" si="29"/>
        <v>0</v>
      </c>
    </row>
    <row r="276" spans="1:20">
      <c r="A276" s="1" t="s">
        <v>90</v>
      </c>
      <c r="B276" s="3">
        <v>45717</v>
      </c>
      <c r="C276" s="1" t="s">
        <v>27</v>
      </c>
      <c r="D276" s="1" t="s">
        <v>18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  <c r="O276">
        <f t="shared" si="24"/>
        <v>0</v>
      </c>
      <c r="P276">
        <f t="shared" si="25"/>
        <v>0</v>
      </c>
      <c r="Q276">
        <f t="shared" si="26"/>
        <v>1</v>
      </c>
      <c r="R276">
        <f t="shared" si="27"/>
        <v>1</v>
      </c>
      <c r="S276">
        <f t="shared" si="28"/>
        <v>0</v>
      </c>
      <c r="T276">
        <f t="shared" si="29"/>
        <v>0</v>
      </c>
    </row>
    <row r="277" spans="1:20">
      <c r="A277" s="1" t="s">
        <v>90</v>
      </c>
      <c r="B277" s="3">
        <v>45748</v>
      </c>
      <c r="C277" s="1" t="s">
        <v>27</v>
      </c>
      <c r="D277" s="1" t="s">
        <v>18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  <c r="O277">
        <f t="shared" si="24"/>
        <v>0</v>
      </c>
      <c r="P277">
        <f t="shared" si="25"/>
        <v>0</v>
      </c>
      <c r="Q277">
        <f t="shared" si="26"/>
        <v>1</v>
      </c>
      <c r="R277">
        <f t="shared" si="27"/>
        <v>1</v>
      </c>
      <c r="S277">
        <f t="shared" si="28"/>
        <v>0</v>
      </c>
      <c r="T277">
        <f t="shared" si="29"/>
        <v>0</v>
      </c>
    </row>
    <row r="278" spans="1:20">
      <c r="A278" s="1" t="s">
        <v>91</v>
      </c>
      <c r="B278" s="3">
        <v>45658</v>
      </c>
      <c r="C278" s="1" t="s">
        <v>24</v>
      </c>
      <c r="D278" s="1" t="s">
        <v>16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  <c r="O278">
        <f t="shared" si="24"/>
        <v>0</v>
      </c>
      <c r="P278">
        <f t="shared" si="25"/>
        <v>1</v>
      </c>
      <c r="Q278">
        <f t="shared" si="26"/>
        <v>0</v>
      </c>
      <c r="R278">
        <f t="shared" si="27"/>
        <v>0</v>
      </c>
      <c r="S278">
        <f t="shared" si="28"/>
        <v>0</v>
      </c>
      <c r="T278">
        <f t="shared" si="29"/>
        <v>0</v>
      </c>
    </row>
    <row r="279" spans="1:20">
      <c r="A279" s="1" t="s">
        <v>91</v>
      </c>
      <c r="B279" s="3">
        <v>45689</v>
      </c>
      <c r="C279" s="1" t="s">
        <v>24</v>
      </c>
      <c r="D279" s="1" t="s">
        <v>16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  <c r="O279">
        <f t="shared" si="24"/>
        <v>0</v>
      </c>
      <c r="P279">
        <f t="shared" si="25"/>
        <v>1</v>
      </c>
      <c r="Q279">
        <f t="shared" si="26"/>
        <v>0</v>
      </c>
      <c r="R279">
        <f t="shared" si="27"/>
        <v>0</v>
      </c>
      <c r="S279">
        <f t="shared" si="28"/>
        <v>0</v>
      </c>
      <c r="T279">
        <f t="shared" si="29"/>
        <v>0</v>
      </c>
    </row>
    <row r="280" spans="1:20">
      <c r="A280" s="1" t="s">
        <v>91</v>
      </c>
      <c r="B280" s="3">
        <v>45717</v>
      </c>
      <c r="C280" s="1" t="s">
        <v>24</v>
      </c>
      <c r="D280" s="1" t="s">
        <v>16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  <c r="O280">
        <f t="shared" si="24"/>
        <v>0</v>
      </c>
      <c r="P280">
        <f t="shared" si="25"/>
        <v>1</v>
      </c>
      <c r="Q280">
        <f t="shared" si="26"/>
        <v>0</v>
      </c>
      <c r="R280">
        <f t="shared" si="27"/>
        <v>0</v>
      </c>
      <c r="S280">
        <f t="shared" si="28"/>
        <v>0</v>
      </c>
      <c r="T280">
        <f t="shared" si="29"/>
        <v>0</v>
      </c>
    </row>
    <row r="281" spans="1:20">
      <c r="A281" s="1" t="s">
        <v>91</v>
      </c>
      <c r="B281" s="3">
        <v>45748</v>
      </c>
      <c r="C281" s="1" t="s">
        <v>24</v>
      </c>
      <c r="D281" s="1" t="s">
        <v>16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  <c r="O281">
        <f t="shared" si="24"/>
        <v>0</v>
      </c>
      <c r="P281">
        <f t="shared" si="25"/>
        <v>1</v>
      </c>
      <c r="Q281">
        <f t="shared" si="26"/>
        <v>0</v>
      </c>
      <c r="R281">
        <f t="shared" si="27"/>
        <v>0</v>
      </c>
      <c r="S281">
        <f t="shared" si="28"/>
        <v>0</v>
      </c>
      <c r="T281">
        <f t="shared" si="29"/>
        <v>0</v>
      </c>
    </row>
    <row r="282" spans="1:20">
      <c r="A282" s="1" t="s">
        <v>92</v>
      </c>
      <c r="B282" s="3">
        <v>45658</v>
      </c>
      <c r="C282" s="1" t="s">
        <v>24</v>
      </c>
      <c r="D282" s="1" t="s">
        <v>18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  <c r="O282">
        <f t="shared" si="24"/>
        <v>0</v>
      </c>
      <c r="P282">
        <f t="shared" si="25"/>
        <v>1</v>
      </c>
      <c r="Q282">
        <f t="shared" si="26"/>
        <v>0</v>
      </c>
      <c r="R282">
        <f t="shared" si="27"/>
        <v>1</v>
      </c>
      <c r="S282">
        <f t="shared" si="28"/>
        <v>0</v>
      </c>
      <c r="T282">
        <f t="shared" si="29"/>
        <v>0</v>
      </c>
    </row>
    <row r="283" spans="1:20">
      <c r="A283" s="1" t="s">
        <v>92</v>
      </c>
      <c r="B283" s="3">
        <v>45689</v>
      </c>
      <c r="C283" s="1" t="s">
        <v>24</v>
      </c>
      <c r="D283" s="1" t="s">
        <v>18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  <c r="O283">
        <f t="shared" si="24"/>
        <v>0</v>
      </c>
      <c r="P283">
        <f t="shared" si="25"/>
        <v>1</v>
      </c>
      <c r="Q283">
        <f t="shared" si="26"/>
        <v>0</v>
      </c>
      <c r="R283">
        <f t="shared" si="27"/>
        <v>1</v>
      </c>
      <c r="S283">
        <f t="shared" si="28"/>
        <v>0</v>
      </c>
      <c r="T283">
        <f t="shared" si="29"/>
        <v>0</v>
      </c>
    </row>
    <row r="284" spans="1:20">
      <c r="A284" s="1" t="s">
        <v>92</v>
      </c>
      <c r="B284" s="3">
        <v>45717</v>
      </c>
      <c r="C284" s="1" t="s">
        <v>24</v>
      </c>
      <c r="D284" s="1" t="s">
        <v>18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  <c r="O284">
        <f t="shared" si="24"/>
        <v>0</v>
      </c>
      <c r="P284">
        <f t="shared" si="25"/>
        <v>1</v>
      </c>
      <c r="Q284">
        <f t="shared" si="26"/>
        <v>0</v>
      </c>
      <c r="R284">
        <f t="shared" si="27"/>
        <v>1</v>
      </c>
      <c r="S284">
        <f t="shared" si="28"/>
        <v>0</v>
      </c>
      <c r="T284">
        <f t="shared" si="29"/>
        <v>0</v>
      </c>
    </row>
    <row r="285" spans="1:20">
      <c r="A285" s="1" t="s">
        <v>92</v>
      </c>
      <c r="B285" s="3">
        <v>45748</v>
      </c>
      <c r="C285" s="1" t="s">
        <v>24</v>
      </c>
      <c r="D285" s="1" t="s">
        <v>18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  <c r="O285">
        <f t="shared" si="24"/>
        <v>0</v>
      </c>
      <c r="P285">
        <f t="shared" si="25"/>
        <v>1</v>
      </c>
      <c r="Q285">
        <f t="shared" si="26"/>
        <v>0</v>
      </c>
      <c r="R285">
        <f t="shared" si="27"/>
        <v>1</v>
      </c>
      <c r="S285">
        <f t="shared" si="28"/>
        <v>0</v>
      </c>
      <c r="T285">
        <f t="shared" si="29"/>
        <v>0</v>
      </c>
    </row>
    <row r="286" spans="1:20">
      <c r="A286" s="1" t="s">
        <v>93</v>
      </c>
      <c r="B286" s="3">
        <v>45658</v>
      </c>
      <c r="C286" s="1" t="s">
        <v>27</v>
      </c>
      <c r="D286" s="1" t="s">
        <v>16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  <c r="O286">
        <f t="shared" si="24"/>
        <v>0</v>
      </c>
      <c r="P286">
        <f t="shared" si="25"/>
        <v>0</v>
      </c>
      <c r="Q286">
        <f t="shared" si="26"/>
        <v>1</v>
      </c>
      <c r="R286">
        <f t="shared" si="27"/>
        <v>0</v>
      </c>
      <c r="S286">
        <f t="shared" si="28"/>
        <v>0</v>
      </c>
      <c r="T286">
        <f t="shared" si="29"/>
        <v>0</v>
      </c>
    </row>
    <row r="287" spans="1:20">
      <c r="A287" s="1" t="s">
        <v>93</v>
      </c>
      <c r="B287" s="3">
        <v>45689</v>
      </c>
      <c r="C287" s="1" t="s">
        <v>27</v>
      </c>
      <c r="D287" s="1" t="s">
        <v>16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  <c r="O287">
        <f t="shared" si="24"/>
        <v>0</v>
      </c>
      <c r="P287">
        <f t="shared" si="25"/>
        <v>0</v>
      </c>
      <c r="Q287">
        <f t="shared" si="26"/>
        <v>1</v>
      </c>
      <c r="R287">
        <f t="shared" si="27"/>
        <v>0</v>
      </c>
      <c r="S287">
        <f t="shared" si="28"/>
        <v>0</v>
      </c>
      <c r="T287">
        <f t="shared" si="29"/>
        <v>0</v>
      </c>
    </row>
    <row r="288" spans="1:20">
      <c r="A288" s="1" t="s">
        <v>93</v>
      </c>
      <c r="B288" s="3">
        <v>45717</v>
      </c>
      <c r="C288" s="1" t="s">
        <v>27</v>
      </c>
      <c r="D288" s="1" t="s">
        <v>16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  <c r="O288">
        <f t="shared" si="24"/>
        <v>0</v>
      </c>
      <c r="P288">
        <f t="shared" si="25"/>
        <v>0</v>
      </c>
      <c r="Q288">
        <f t="shared" si="26"/>
        <v>1</v>
      </c>
      <c r="R288">
        <f t="shared" si="27"/>
        <v>0</v>
      </c>
      <c r="S288">
        <f t="shared" si="28"/>
        <v>0</v>
      </c>
      <c r="T288">
        <f t="shared" si="29"/>
        <v>0</v>
      </c>
    </row>
    <row r="289" spans="1:20">
      <c r="A289" s="1" t="s">
        <v>93</v>
      </c>
      <c r="B289" s="3">
        <v>45748</v>
      </c>
      <c r="C289" s="1" t="s">
        <v>27</v>
      </c>
      <c r="D289" s="1" t="s">
        <v>16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  <c r="O289">
        <f t="shared" si="24"/>
        <v>0</v>
      </c>
      <c r="P289">
        <f t="shared" si="25"/>
        <v>0</v>
      </c>
      <c r="Q289">
        <f t="shared" si="26"/>
        <v>1</v>
      </c>
      <c r="R289">
        <f t="shared" si="27"/>
        <v>0</v>
      </c>
      <c r="S289">
        <f t="shared" si="28"/>
        <v>0</v>
      </c>
      <c r="T289">
        <f t="shared" si="29"/>
        <v>0</v>
      </c>
    </row>
    <row r="290" spans="1:20">
      <c r="A290" s="1" t="s">
        <v>94</v>
      </c>
      <c r="B290" s="3">
        <v>45658</v>
      </c>
      <c r="C290" s="1" t="s">
        <v>15</v>
      </c>
      <c r="D290" s="1" t="s">
        <v>16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  <c r="O290">
        <f t="shared" si="24"/>
        <v>0</v>
      </c>
      <c r="P290">
        <f t="shared" si="25"/>
        <v>0</v>
      </c>
      <c r="Q290">
        <f t="shared" si="26"/>
        <v>0</v>
      </c>
      <c r="R290">
        <f t="shared" si="27"/>
        <v>0</v>
      </c>
      <c r="S290">
        <f t="shared" si="28"/>
        <v>0</v>
      </c>
      <c r="T290">
        <f t="shared" si="29"/>
        <v>0</v>
      </c>
    </row>
    <row r="291" spans="1:20">
      <c r="A291" s="1" t="s">
        <v>94</v>
      </c>
      <c r="B291" s="3">
        <v>45689</v>
      </c>
      <c r="C291" s="1" t="s">
        <v>15</v>
      </c>
      <c r="D291" s="1" t="s">
        <v>16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  <c r="O291">
        <f t="shared" si="24"/>
        <v>0</v>
      </c>
      <c r="P291">
        <f t="shared" si="25"/>
        <v>0</v>
      </c>
      <c r="Q291">
        <f t="shared" si="26"/>
        <v>0</v>
      </c>
      <c r="R291">
        <f t="shared" si="27"/>
        <v>0</v>
      </c>
      <c r="S291">
        <f t="shared" si="28"/>
        <v>0</v>
      </c>
      <c r="T291">
        <f t="shared" si="29"/>
        <v>0</v>
      </c>
    </row>
    <row r="292" spans="1:20">
      <c r="A292" s="1" t="s">
        <v>94</v>
      </c>
      <c r="B292" s="3">
        <v>45717</v>
      </c>
      <c r="C292" s="1" t="s">
        <v>15</v>
      </c>
      <c r="D292" s="1" t="s">
        <v>16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  <c r="O292">
        <f t="shared" si="24"/>
        <v>0</v>
      </c>
      <c r="P292">
        <f t="shared" si="25"/>
        <v>0</v>
      </c>
      <c r="Q292">
        <f t="shared" si="26"/>
        <v>0</v>
      </c>
      <c r="R292">
        <f t="shared" si="27"/>
        <v>0</v>
      </c>
      <c r="S292">
        <f t="shared" si="28"/>
        <v>0</v>
      </c>
      <c r="T292">
        <f t="shared" si="29"/>
        <v>0</v>
      </c>
    </row>
    <row r="293" spans="1:20">
      <c r="A293" s="1" t="s">
        <v>94</v>
      </c>
      <c r="B293" s="3">
        <v>45748</v>
      </c>
      <c r="C293" s="1" t="s">
        <v>15</v>
      </c>
      <c r="D293" s="1" t="s">
        <v>16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  <c r="O293">
        <f t="shared" si="24"/>
        <v>0</v>
      </c>
      <c r="P293">
        <f t="shared" si="25"/>
        <v>0</v>
      </c>
      <c r="Q293">
        <f t="shared" si="26"/>
        <v>0</v>
      </c>
      <c r="R293">
        <f t="shared" si="27"/>
        <v>0</v>
      </c>
      <c r="S293">
        <f t="shared" si="28"/>
        <v>0</v>
      </c>
      <c r="T293">
        <f t="shared" si="29"/>
        <v>0</v>
      </c>
    </row>
    <row r="294" spans="1:20">
      <c r="A294" s="1" t="s">
        <v>95</v>
      </c>
      <c r="B294" s="3">
        <v>45658</v>
      </c>
      <c r="C294" s="1" t="s">
        <v>27</v>
      </c>
      <c r="D294" s="1" t="s">
        <v>18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  <c r="O294">
        <f t="shared" si="24"/>
        <v>0</v>
      </c>
      <c r="P294">
        <f t="shared" si="25"/>
        <v>0</v>
      </c>
      <c r="Q294">
        <f t="shared" si="26"/>
        <v>1</v>
      </c>
      <c r="R294">
        <f t="shared" si="27"/>
        <v>1</v>
      </c>
      <c r="S294">
        <f t="shared" si="28"/>
        <v>0</v>
      </c>
      <c r="T294">
        <f t="shared" si="29"/>
        <v>0</v>
      </c>
    </row>
    <row r="295" spans="1:20">
      <c r="A295" s="1" t="s">
        <v>95</v>
      </c>
      <c r="B295" s="3">
        <v>45689</v>
      </c>
      <c r="C295" s="1" t="s">
        <v>27</v>
      </c>
      <c r="D295" s="1" t="s">
        <v>18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  <c r="O295">
        <f t="shared" si="24"/>
        <v>0</v>
      </c>
      <c r="P295">
        <f t="shared" si="25"/>
        <v>0</v>
      </c>
      <c r="Q295">
        <f t="shared" si="26"/>
        <v>1</v>
      </c>
      <c r="R295">
        <f t="shared" si="27"/>
        <v>1</v>
      </c>
      <c r="S295">
        <f t="shared" si="28"/>
        <v>0</v>
      </c>
      <c r="T295">
        <f t="shared" si="29"/>
        <v>0</v>
      </c>
    </row>
    <row r="296" spans="1:20">
      <c r="A296" s="1" t="s">
        <v>95</v>
      </c>
      <c r="B296" s="3">
        <v>45717</v>
      </c>
      <c r="C296" s="1" t="s">
        <v>27</v>
      </c>
      <c r="D296" s="1" t="s">
        <v>18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  <c r="O296">
        <f t="shared" si="24"/>
        <v>0</v>
      </c>
      <c r="P296">
        <f t="shared" si="25"/>
        <v>0</v>
      </c>
      <c r="Q296">
        <f t="shared" si="26"/>
        <v>1</v>
      </c>
      <c r="R296">
        <f t="shared" si="27"/>
        <v>1</v>
      </c>
      <c r="S296">
        <f t="shared" si="28"/>
        <v>0</v>
      </c>
      <c r="T296">
        <f t="shared" si="29"/>
        <v>0</v>
      </c>
    </row>
    <row r="297" spans="1:20">
      <c r="A297" s="1" t="s">
        <v>95</v>
      </c>
      <c r="B297" s="3">
        <v>45748</v>
      </c>
      <c r="C297" s="1" t="s">
        <v>27</v>
      </c>
      <c r="D297" s="1" t="s">
        <v>18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  <c r="O297">
        <f t="shared" si="24"/>
        <v>0</v>
      </c>
      <c r="P297">
        <f t="shared" si="25"/>
        <v>0</v>
      </c>
      <c r="Q297">
        <f t="shared" si="26"/>
        <v>1</v>
      </c>
      <c r="R297">
        <f t="shared" si="27"/>
        <v>1</v>
      </c>
      <c r="S297">
        <f t="shared" si="28"/>
        <v>0</v>
      </c>
      <c r="T297">
        <f t="shared" si="29"/>
        <v>0</v>
      </c>
    </row>
    <row r="298" spans="1:20">
      <c r="A298" s="1" t="s">
        <v>96</v>
      </c>
      <c r="B298" s="3">
        <v>45658</v>
      </c>
      <c r="C298" s="1" t="s">
        <v>27</v>
      </c>
      <c r="D298" s="1" t="s">
        <v>18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  <c r="O298">
        <f t="shared" si="24"/>
        <v>0</v>
      </c>
      <c r="P298">
        <f t="shared" si="25"/>
        <v>0</v>
      </c>
      <c r="Q298">
        <f t="shared" si="26"/>
        <v>1</v>
      </c>
      <c r="R298">
        <f t="shared" si="27"/>
        <v>1</v>
      </c>
      <c r="S298">
        <f t="shared" si="28"/>
        <v>0</v>
      </c>
      <c r="T298">
        <f t="shared" si="29"/>
        <v>0</v>
      </c>
    </row>
    <row r="299" spans="1:20">
      <c r="A299" s="1" t="s">
        <v>96</v>
      </c>
      <c r="B299" s="3">
        <v>45689</v>
      </c>
      <c r="C299" s="1" t="s">
        <v>27</v>
      </c>
      <c r="D299" s="1" t="s">
        <v>18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  <c r="O299">
        <f t="shared" si="24"/>
        <v>0</v>
      </c>
      <c r="P299">
        <f t="shared" si="25"/>
        <v>0</v>
      </c>
      <c r="Q299">
        <f t="shared" si="26"/>
        <v>1</v>
      </c>
      <c r="R299">
        <f t="shared" si="27"/>
        <v>1</v>
      </c>
      <c r="S299">
        <f t="shared" si="28"/>
        <v>0</v>
      </c>
      <c r="T299">
        <f t="shared" si="29"/>
        <v>0</v>
      </c>
    </row>
    <row r="300" spans="1:20">
      <c r="A300" s="1" t="s">
        <v>96</v>
      </c>
      <c r="B300" s="3">
        <v>45717</v>
      </c>
      <c r="C300" s="1" t="s">
        <v>27</v>
      </c>
      <c r="D300" s="1" t="s">
        <v>18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  <c r="O300">
        <f t="shared" si="24"/>
        <v>0</v>
      </c>
      <c r="P300">
        <f t="shared" si="25"/>
        <v>0</v>
      </c>
      <c r="Q300">
        <f t="shared" si="26"/>
        <v>1</v>
      </c>
      <c r="R300">
        <f t="shared" si="27"/>
        <v>1</v>
      </c>
      <c r="S300">
        <f t="shared" si="28"/>
        <v>0</v>
      </c>
      <c r="T300">
        <f t="shared" si="29"/>
        <v>0</v>
      </c>
    </row>
    <row r="301" spans="1:20">
      <c r="A301" s="1" t="s">
        <v>96</v>
      </c>
      <c r="B301" s="3">
        <v>45748</v>
      </c>
      <c r="C301" s="1" t="s">
        <v>27</v>
      </c>
      <c r="D301" s="1" t="s">
        <v>18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  <c r="O301">
        <f t="shared" si="24"/>
        <v>0</v>
      </c>
      <c r="P301">
        <f t="shared" si="25"/>
        <v>0</v>
      </c>
      <c r="Q301">
        <f t="shared" si="26"/>
        <v>1</v>
      </c>
      <c r="R301">
        <f t="shared" si="27"/>
        <v>1</v>
      </c>
      <c r="S301">
        <f t="shared" si="28"/>
        <v>0</v>
      </c>
      <c r="T301">
        <f t="shared" si="29"/>
        <v>0</v>
      </c>
    </row>
    <row r="302" spans="1:20">
      <c r="A302" s="1" t="s">
        <v>97</v>
      </c>
      <c r="B302" s="3">
        <v>45658</v>
      </c>
      <c r="C302" s="1" t="s">
        <v>20</v>
      </c>
      <c r="D302" s="1" t="s">
        <v>28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  <c r="O302">
        <f t="shared" si="24"/>
        <v>1</v>
      </c>
      <c r="P302">
        <f t="shared" si="25"/>
        <v>0</v>
      </c>
      <c r="Q302">
        <f t="shared" si="26"/>
        <v>0</v>
      </c>
      <c r="R302">
        <f t="shared" si="27"/>
        <v>0</v>
      </c>
      <c r="S302">
        <f t="shared" si="28"/>
        <v>0</v>
      </c>
      <c r="T302">
        <f t="shared" si="29"/>
        <v>1</v>
      </c>
    </row>
    <row r="303" spans="1:20">
      <c r="A303" s="1" t="s">
        <v>97</v>
      </c>
      <c r="B303" s="3">
        <v>45689</v>
      </c>
      <c r="C303" s="1" t="s">
        <v>20</v>
      </c>
      <c r="D303" s="1" t="s">
        <v>28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  <c r="O303">
        <f t="shared" si="24"/>
        <v>1</v>
      </c>
      <c r="P303">
        <f t="shared" si="25"/>
        <v>0</v>
      </c>
      <c r="Q303">
        <f t="shared" si="26"/>
        <v>0</v>
      </c>
      <c r="R303">
        <f t="shared" si="27"/>
        <v>0</v>
      </c>
      <c r="S303">
        <f t="shared" si="28"/>
        <v>0</v>
      </c>
      <c r="T303">
        <f t="shared" si="29"/>
        <v>1</v>
      </c>
    </row>
    <row r="304" spans="1:20">
      <c r="A304" s="1" t="s">
        <v>97</v>
      </c>
      <c r="B304" s="3">
        <v>45717</v>
      </c>
      <c r="C304" s="1" t="s">
        <v>20</v>
      </c>
      <c r="D304" s="1" t="s">
        <v>28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  <c r="O304">
        <f t="shared" si="24"/>
        <v>1</v>
      </c>
      <c r="P304">
        <f t="shared" si="25"/>
        <v>0</v>
      </c>
      <c r="Q304">
        <f t="shared" si="26"/>
        <v>0</v>
      </c>
      <c r="R304">
        <f t="shared" si="27"/>
        <v>0</v>
      </c>
      <c r="S304">
        <f t="shared" si="28"/>
        <v>0</v>
      </c>
      <c r="T304">
        <f t="shared" si="29"/>
        <v>1</v>
      </c>
    </row>
    <row r="305" spans="1:20">
      <c r="A305" s="1" t="s">
        <v>97</v>
      </c>
      <c r="B305" s="3">
        <v>45748</v>
      </c>
      <c r="C305" s="1" t="s">
        <v>20</v>
      </c>
      <c r="D305" s="1" t="s">
        <v>28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  <c r="O305">
        <f t="shared" si="24"/>
        <v>1</v>
      </c>
      <c r="P305">
        <f t="shared" si="25"/>
        <v>0</v>
      </c>
      <c r="Q305">
        <f t="shared" si="26"/>
        <v>0</v>
      </c>
      <c r="R305">
        <f t="shared" si="27"/>
        <v>0</v>
      </c>
      <c r="S305">
        <f t="shared" si="28"/>
        <v>0</v>
      </c>
      <c r="T305">
        <f t="shared" si="29"/>
        <v>1</v>
      </c>
    </row>
    <row r="306" spans="1:20">
      <c r="A306" s="1" t="s">
        <v>98</v>
      </c>
      <c r="B306" s="3">
        <v>45658</v>
      </c>
      <c r="C306" s="1" t="s">
        <v>24</v>
      </c>
      <c r="D306" s="1" t="s">
        <v>16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  <c r="O306">
        <f t="shared" si="24"/>
        <v>0</v>
      </c>
      <c r="P306">
        <f t="shared" si="25"/>
        <v>1</v>
      </c>
      <c r="Q306">
        <f t="shared" si="26"/>
        <v>0</v>
      </c>
      <c r="R306">
        <f t="shared" si="27"/>
        <v>0</v>
      </c>
      <c r="S306">
        <f t="shared" si="28"/>
        <v>0</v>
      </c>
      <c r="T306">
        <f t="shared" si="29"/>
        <v>0</v>
      </c>
    </row>
    <row r="307" spans="1:20">
      <c r="A307" s="1" t="s">
        <v>98</v>
      </c>
      <c r="B307" s="3">
        <v>45689</v>
      </c>
      <c r="C307" s="1" t="s">
        <v>24</v>
      </c>
      <c r="D307" s="1" t="s">
        <v>16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  <c r="O307">
        <f t="shared" si="24"/>
        <v>0</v>
      </c>
      <c r="P307">
        <f t="shared" si="25"/>
        <v>1</v>
      </c>
      <c r="Q307">
        <f t="shared" si="26"/>
        <v>0</v>
      </c>
      <c r="R307">
        <f t="shared" si="27"/>
        <v>0</v>
      </c>
      <c r="S307">
        <f t="shared" si="28"/>
        <v>0</v>
      </c>
      <c r="T307">
        <f t="shared" si="29"/>
        <v>0</v>
      </c>
    </row>
    <row r="308" spans="1:20">
      <c r="A308" s="1" t="s">
        <v>98</v>
      </c>
      <c r="B308" s="3">
        <v>45717</v>
      </c>
      <c r="C308" s="1" t="s">
        <v>24</v>
      </c>
      <c r="D308" s="1" t="s">
        <v>16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  <c r="O308">
        <f t="shared" si="24"/>
        <v>0</v>
      </c>
      <c r="P308">
        <f t="shared" si="25"/>
        <v>1</v>
      </c>
      <c r="Q308">
        <f t="shared" si="26"/>
        <v>0</v>
      </c>
      <c r="R308">
        <f t="shared" si="27"/>
        <v>0</v>
      </c>
      <c r="S308">
        <f t="shared" si="28"/>
        <v>0</v>
      </c>
      <c r="T308">
        <f t="shared" si="29"/>
        <v>0</v>
      </c>
    </row>
    <row r="309" spans="1:20">
      <c r="A309" s="1" t="s">
        <v>98</v>
      </c>
      <c r="B309" s="3">
        <v>45748</v>
      </c>
      <c r="C309" s="1" t="s">
        <v>24</v>
      </c>
      <c r="D309" s="1" t="s">
        <v>16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  <c r="O309">
        <f t="shared" si="24"/>
        <v>0</v>
      </c>
      <c r="P309">
        <f t="shared" si="25"/>
        <v>1</v>
      </c>
      <c r="Q309">
        <f t="shared" si="26"/>
        <v>0</v>
      </c>
      <c r="R309">
        <f t="shared" si="27"/>
        <v>0</v>
      </c>
      <c r="S309">
        <f t="shared" si="28"/>
        <v>0</v>
      </c>
      <c r="T309">
        <f t="shared" si="29"/>
        <v>0</v>
      </c>
    </row>
    <row r="310" spans="1:20">
      <c r="A310" s="1" t="s">
        <v>99</v>
      </c>
      <c r="B310" s="3">
        <v>45658</v>
      </c>
      <c r="C310" s="1" t="s">
        <v>24</v>
      </c>
      <c r="D310" s="1" t="s">
        <v>18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  <c r="O310">
        <f t="shared" si="24"/>
        <v>0</v>
      </c>
      <c r="P310">
        <f t="shared" si="25"/>
        <v>1</v>
      </c>
      <c r="Q310">
        <f t="shared" si="26"/>
        <v>0</v>
      </c>
      <c r="R310">
        <f t="shared" si="27"/>
        <v>1</v>
      </c>
      <c r="S310">
        <f t="shared" si="28"/>
        <v>0</v>
      </c>
      <c r="T310">
        <f t="shared" si="29"/>
        <v>0</v>
      </c>
    </row>
    <row r="311" spans="1:20">
      <c r="A311" s="1" t="s">
        <v>99</v>
      </c>
      <c r="B311" s="3">
        <v>45689</v>
      </c>
      <c r="C311" s="1" t="s">
        <v>24</v>
      </c>
      <c r="D311" s="1" t="s">
        <v>18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  <c r="O311">
        <f t="shared" si="24"/>
        <v>0</v>
      </c>
      <c r="P311">
        <f t="shared" si="25"/>
        <v>1</v>
      </c>
      <c r="Q311">
        <f t="shared" si="26"/>
        <v>0</v>
      </c>
      <c r="R311">
        <f t="shared" si="27"/>
        <v>1</v>
      </c>
      <c r="S311">
        <f t="shared" si="28"/>
        <v>0</v>
      </c>
      <c r="T311">
        <f t="shared" si="29"/>
        <v>0</v>
      </c>
    </row>
    <row r="312" spans="1:20">
      <c r="A312" s="1" t="s">
        <v>99</v>
      </c>
      <c r="B312" s="3">
        <v>45717</v>
      </c>
      <c r="C312" s="1" t="s">
        <v>24</v>
      </c>
      <c r="D312" s="1" t="s">
        <v>18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  <c r="O312">
        <f t="shared" si="24"/>
        <v>0</v>
      </c>
      <c r="P312">
        <f t="shared" si="25"/>
        <v>1</v>
      </c>
      <c r="Q312">
        <f t="shared" si="26"/>
        <v>0</v>
      </c>
      <c r="R312">
        <f t="shared" si="27"/>
        <v>1</v>
      </c>
      <c r="S312">
        <f t="shared" si="28"/>
        <v>0</v>
      </c>
      <c r="T312">
        <f t="shared" si="29"/>
        <v>0</v>
      </c>
    </row>
    <row r="313" spans="1:20">
      <c r="A313" s="1" t="s">
        <v>99</v>
      </c>
      <c r="B313" s="3">
        <v>45748</v>
      </c>
      <c r="C313" s="1" t="s">
        <v>24</v>
      </c>
      <c r="D313" s="1" t="s">
        <v>18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>
        <v>3.92</v>
      </c>
      <c r="M313" s="1">
        <v>771129.07</v>
      </c>
      <c r="N313" s="1">
        <v>116851.13</v>
      </c>
      <c r="O313">
        <f t="shared" si="24"/>
        <v>0</v>
      </c>
      <c r="P313">
        <f t="shared" si="25"/>
        <v>1</v>
      </c>
      <c r="Q313">
        <f t="shared" si="26"/>
        <v>0</v>
      </c>
      <c r="R313">
        <f t="shared" si="27"/>
        <v>1</v>
      </c>
      <c r="S313">
        <f t="shared" si="28"/>
        <v>0</v>
      </c>
      <c r="T313">
        <f t="shared" si="29"/>
        <v>0</v>
      </c>
    </row>
    <row r="314" spans="1:20">
      <c r="A314" s="1" t="s">
        <v>100</v>
      </c>
      <c r="B314" s="3">
        <v>45658</v>
      </c>
      <c r="C314" s="1" t="s">
        <v>20</v>
      </c>
      <c r="D314" s="1" t="s">
        <v>16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  <c r="O314">
        <f t="shared" si="24"/>
        <v>1</v>
      </c>
      <c r="P314">
        <f t="shared" si="25"/>
        <v>0</v>
      </c>
      <c r="Q314">
        <f t="shared" si="26"/>
        <v>0</v>
      </c>
      <c r="R314">
        <f t="shared" si="27"/>
        <v>0</v>
      </c>
      <c r="S314">
        <f t="shared" si="28"/>
        <v>0</v>
      </c>
      <c r="T314">
        <f t="shared" si="29"/>
        <v>0</v>
      </c>
    </row>
    <row r="315" spans="1:20">
      <c r="A315" s="1" t="s">
        <v>100</v>
      </c>
      <c r="B315" s="3">
        <v>45689</v>
      </c>
      <c r="C315" s="1" t="s">
        <v>20</v>
      </c>
      <c r="D315" s="1" t="s">
        <v>16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>
        <v>3.92</v>
      </c>
      <c r="M315" s="1">
        <v>688368.46</v>
      </c>
      <c r="N315" s="1">
        <v>93588.42</v>
      </c>
      <c r="O315">
        <f t="shared" si="24"/>
        <v>1</v>
      </c>
      <c r="P315">
        <f t="shared" si="25"/>
        <v>0</v>
      </c>
      <c r="Q315">
        <f t="shared" si="26"/>
        <v>0</v>
      </c>
      <c r="R315">
        <f t="shared" si="27"/>
        <v>0</v>
      </c>
      <c r="S315">
        <f t="shared" si="28"/>
        <v>0</v>
      </c>
      <c r="T315">
        <f t="shared" si="29"/>
        <v>0</v>
      </c>
    </row>
    <row r="316" spans="1:20">
      <c r="A316" s="1" t="s">
        <v>100</v>
      </c>
      <c r="B316" s="3">
        <v>45717</v>
      </c>
      <c r="C316" s="1" t="s">
        <v>20</v>
      </c>
      <c r="D316" s="1" t="s">
        <v>16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  <c r="O316">
        <f t="shared" si="24"/>
        <v>1</v>
      </c>
      <c r="P316">
        <f t="shared" si="25"/>
        <v>0</v>
      </c>
      <c r="Q316">
        <f t="shared" si="26"/>
        <v>0</v>
      </c>
      <c r="R316">
        <f t="shared" si="27"/>
        <v>0</v>
      </c>
      <c r="S316">
        <f t="shared" si="28"/>
        <v>0</v>
      </c>
      <c r="T316">
        <f t="shared" si="29"/>
        <v>0</v>
      </c>
    </row>
    <row r="317" spans="1:20">
      <c r="A317" s="1" t="s">
        <v>100</v>
      </c>
      <c r="B317" s="3">
        <v>45748</v>
      </c>
      <c r="C317" s="1" t="s">
        <v>20</v>
      </c>
      <c r="D317" s="1" t="s">
        <v>16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  <c r="O317">
        <f t="shared" si="24"/>
        <v>1</v>
      </c>
      <c r="P317">
        <f t="shared" si="25"/>
        <v>0</v>
      </c>
      <c r="Q317">
        <f t="shared" si="26"/>
        <v>0</v>
      </c>
      <c r="R317">
        <f t="shared" si="27"/>
        <v>0</v>
      </c>
      <c r="S317">
        <f t="shared" si="28"/>
        <v>0</v>
      </c>
      <c r="T317">
        <f t="shared" si="29"/>
        <v>0</v>
      </c>
    </row>
    <row r="318" spans="1:20">
      <c r="A318" s="1" t="s">
        <v>101</v>
      </c>
      <c r="B318" s="3">
        <v>45658</v>
      </c>
      <c r="C318" s="1" t="s">
        <v>15</v>
      </c>
      <c r="D318" s="1" t="s">
        <v>16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  <c r="O318">
        <f t="shared" si="24"/>
        <v>0</v>
      </c>
      <c r="P318">
        <f t="shared" si="25"/>
        <v>0</v>
      </c>
      <c r="Q318">
        <f t="shared" si="26"/>
        <v>0</v>
      </c>
      <c r="R318">
        <f t="shared" si="27"/>
        <v>0</v>
      </c>
      <c r="S318">
        <f t="shared" si="28"/>
        <v>0</v>
      </c>
      <c r="T318">
        <f t="shared" si="29"/>
        <v>0</v>
      </c>
    </row>
    <row r="319" spans="1:20">
      <c r="A319" s="1" t="s">
        <v>101</v>
      </c>
      <c r="B319" s="3">
        <v>45689</v>
      </c>
      <c r="C319" s="1" t="s">
        <v>15</v>
      </c>
      <c r="D319" s="1" t="s">
        <v>16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  <c r="O319">
        <f t="shared" si="24"/>
        <v>0</v>
      </c>
      <c r="P319">
        <f t="shared" si="25"/>
        <v>0</v>
      </c>
      <c r="Q319">
        <f t="shared" si="26"/>
        <v>0</v>
      </c>
      <c r="R319">
        <f t="shared" si="27"/>
        <v>0</v>
      </c>
      <c r="S319">
        <f t="shared" si="28"/>
        <v>0</v>
      </c>
      <c r="T319">
        <f t="shared" si="29"/>
        <v>0</v>
      </c>
    </row>
    <row r="320" spans="1:20">
      <c r="A320" s="1" t="s">
        <v>101</v>
      </c>
      <c r="B320" s="3">
        <v>45717</v>
      </c>
      <c r="C320" s="1" t="s">
        <v>15</v>
      </c>
      <c r="D320" s="1" t="s">
        <v>16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  <c r="O320">
        <f t="shared" si="24"/>
        <v>0</v>
      </c>
      <c r="P320">
        <f t="shared" si="25"/>
        <v>0</v>
      </c>
      <c r="Q320">
        <f t="shared" si="26"/>
        <v>0</v>
      </c>
      <c r="R320">
        <f t="shared" si="27"/>
        <v>0</v>
      </c>
      <c r="S320">
        <f t="shared" si="28"/>
        <v>0</v>
      </c>
      <c r="T320">
        <f t="shared" si="29"/>
        <v>0</v>
      </c>
    </row>
    <row r="321" spans="1:20">
      <c r="A321" s="1" t="s">
        <v>101</v>
      </c>
      <c r="B321" s="3">
        <v>45748</v>
      </c>
      <c r="C321" s="1" t="s">
        <v>15</v>
      </c>
      <c r="D321" s="1" t="s">
        <v>16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  <c r="O321">
        <f t="shared" si="24"/>
        <v>0</v>
      </c>
      <c r="P321">
        <f t="shared" si="25"/>
        <v>0</v>
      </c>
      <c r="Q321">
        <f t="shared" si="26"/>
        <v>0</v>
      </c>
      <c r="R321">
        <f t="shared" si="27"/>
        <v>0</v>
      </c>
      <c r="S321">
        <f t="shared" si="28"/>
        <v>0</v>
      </c>
      <c r="T321">
        <f t="shared" si="2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035B-3416-49BB-85C3-CD7103DC18EC}">
  <dimension ref="A1:I22"/>
  <sheetViews>
    <sheetView tabSelected="1" topLeftCell="A3" zoomScale="78" workbookViewId="0">
      <selection activeCell="Q27" sqref="Q27"/>
    </sheetView>
  </sheetViews>
  <sheetFormatPr defaultRowHeight="14.5"/>
  <cols>
    <col min="1" max="1" width="13.6328125" customWidth="1"/>
  </cols>
  <sheetData>
    <row r="1" spans="1:9">
      <c r="A1" t="s">
        <v>108</v>
      </c>
    </row>
    <row r="2" spans="1:9" ht="15" thickBot="1"/>
    <row r="3" spans="1:9">
      <c r="A3" s="6" t="s">
        <v>109</v>
      </c>
      <c r="B3" s="6"/>
    </row>
    <row r="4" spans="1:9">
      <c r="A4" t="s">
        <v>110</v>
      </c>
      <c r="B4">
        <v>0.88898141159803779</v>
      </c>
    </row>
    <row r="5" spans="1:9">
      <c r="A5" t="s">
        <v>111</v>
      </c>
      <c r="B5">
        <v>0.79028795016683984</v>
      </c>
    </row>
    <row r="6" spans="1:9">
      <c r="A6" t="s">
        <v>112</v>
      </c>
      <c r="B6">
        <v>0.78694858631599329</v>
      </c>
    </row>
    <row r="7" spans="1:9">
      <c r="A7" t="s">
        <v>113</v>
      </c>
      <c r="B7">
        <v>47898.388074074835</v>
      </c>
    </row>
    <row r="8" spans="1:9" ht="15" thickBot="1">
      <c r="A8" s="4" t="s">
        <v>114</v>
      </c>
      <c r="B8" s="4">
        <v>320</v>
      </c>
    </row>
    <row r="10" spans="1:9" ht="15" thickBot="1">
      <c r="A10" t="s">
        <v>115</v>
      </c>
    </row>
    <row r="11" spans="1:9">
      <c r="A11" s="5"/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</row>
    <row r="12" spans="1:9">
      <c r="A12" t="s">
        <v>116</v>
      </c>
      <c r="B12">
        <v>5</v>
      </c>
      <c r="C12">
        <v>2714772364641.0117</v>
      </c>
      <c r="D12">
        <v>542954472928.20233</v>
      </c>
      <c r="E12">
        <v>236.65823356341005</v>
      </c>
      <c r="F12">
        <v>3.2962579194975443E-104</v>
      </c>
    </row>
    <row r="13" spans="1:9">
      <c r="A13" t="s">
        <v>117</v>
      </c>
      <c r="B13">
        <v>314</v>
      </c>
      <c r="C13">
        <v>720396252149.72778</v>
      </c>
      <c r="D13">
        <v>2294255580.0946746</v>
      </c>
    </row>
    <row r="14" spans="1:9" ht="15" thickBot="1">
      <c r="A14" s="4" t="s">
        <v>118</v>
      </c>
      <c r="B14" s="4">
        <v>319</v>
      </c>
      <c r="C14" s="4">
        <v>3435168616790.7393</v>
      </c>
      <c r="D14" s="4"/>
      <c r="E14" s="4"/>
      <c r="F14" s="4"/>
    </row>
    <row r="15" spans="1:9" ht="15" thickBot="1"/>
    <row r="16" spans="1:9">
      <c r="A16" s="5"/>
      <c r="B16" s="5" t="s">
        <v>125</v>
      </c>
      <c r="C16" s="5" t="s">
        <v>113</v>
      </c>
      <c r="D16" s="5" t="s">
        <v>126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</row>
    <row r="17" spans="1:9">
      <c r="A17" t="s">
        <v>119</v>
      </c>
      <c r="B17">
        <v>396155.76867963525</v>
      </c>
      <c r="C17">
        <v>12519.617140912736</v>
      </c>
      <c r="D17">
        <v>31.642802189616617</v>
      </c>
      <c r="E17">
        <v>1.1084187102619189E-99</v>
      </c>
      <c r="F17">
        <v>371522.82479312114</v>
      </c>
      <c r="G17">
        <v>420788.71256614936</v>
      </c>
      <c r="H17">
        <v>371522.82479312114</v>
      </c>
      <c r="I17">
        <v>420788.71256614936</v>
      </c>
    </row>
    <row r="18" spans="1:9">
      <c r="A18" t="s">
        <v>4</v>
      </c>
      <c r="B18">
        <v>1.1099102021610354</v>
      </c>
      <c r="C18">
        <v>0.13887001478382338</v>
      </c>
      <c r="D18">
        <v>7.9924395765984038</v>
      </c>
      <c r="E18">
        <v>2.5478232189017976E-14</v>
      </c>
      <c r="F18">
        <v>0.83667682424002998</v>
      </c>
      <c r="G18">
        <v>1.3831435800820409</v>
      </c>
      <c r="H18">
        <v>0.83667682424002998</v>
      </c>
      <c r="I18">
        <v>1.3831435800820409</v>
      </c>
    </row>
    <row r="19" spans="1:9">
      <c r="A19" t="s">
        <v>5</v>
      </c>
      <c r="B19">
        <v>29.33002883598277</v>
      </c>
      <c r="C19">
        <v>2.7156266724456297</v>
      </c>
      <c r="D19">
        <v>10.800464266161017</v>
      </c>
      <c r="E19">
        <v>2.4747781815532354E-23</v>
      </c>
      <c r="F19">
        <v>23.986903827752894</v>
      </c>
      <c r="G19">
        <v>34.673153844212642</v>
      </c>
      <c r="H19">
        <v>23.986903827752894</v>
      </c>
      <c r="I19">
        <v>34.673153844212642</v>
      </c>
    </row>
    <row r="20" spans="1:9">
      <c r="A20" t="s">
        <v>6</v>
      </c>
      <c r="B20">
        <v>-91088.715465099915</v>
      </c>
      <c r="C20">
        <v>39497.647457387764</v>
      </c>
      <c r="D20">
        <v>-2.3061807811052906</v>
      </c>
      <c r="E20">
        <v>2.1751537269752749E-2</v>
      </c>
      <c r="F20">
        <v>-168802.22079967422</v>
      </c>
      <c r="G20">
        <v>-13375.210130525607</v>
      </c>
      <c r="H20">
        <v>-168802.22079967422</v>
      </c>
      <c r="I20">
        <v>-13375.210130525607</v>
      </c>
    </row>
    <row r="21" spans="1:9">
      <c r="A21" t="s">
        <v>7</v>
      </c>
      <c r="B21">
        <v>2270.7201273546543</v>
      </c>
      <c r="C21">
        <v>1373.7477700639977</v>
      </c>
      <c r="D21">
        <v>1.6529381716476745</v>
      </c>
      <c r="E21">
        <v>9.934289626613059E-2</v>
      </c>
      <c r="F21">
        <v>-432.19413538479739</v>
      </c>
      <c r="G21">
        <v>4973.6343900941065</v>
      </c>
      <c r="H21">
        <v>-432.19413538479739</v>
      </c>
      <c r="I21">
        <v>4973.6343900941065</v>
      </c>
    </row>
    <row r="22" spans="1:9" ht="15" thickBot="1">
      <c r="A22" s="4" t="s">
        <v>107</v>
      </c>
      <c r="B22" s="4">
        <v>13958.295357916899</v>
      </c>
      <c r="C22" s="4">
        <v>6297.6950152499558</v>
      </c>
      <c r="D22" s="4">
        <v>2.2164133582392753</v>
      </c>
      <c r="E22" s="4">
        <v>2.7379634735798419E-2</v>
      </c>
      <c r="F22" s="4">
        <v>1567.2800274175752</v>
      </c>
      <c r="G22" s="4">
        <v>26349.310688416223</v>
      </c>
      <c r="H22" s="4">
        <v>1567.2800274175752</v>
      </c>
      <c r="I22" s="4">
        <v>26349.310688416223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4FC6-EBCC-46BF-BBF3-49AB32665379}">
  <dimension ref="A1:I18"/>
  <sheetViews>
    <sheetView workbookViewId="0">
      <selection sqref="A1:I21"/>
    </sheetView>
  </sheetViews>
  <sheetFormatPr defaultRowHeight="14.5"/>
  <sheetData>
    <row r="1" spans="1:9">
      <c r="A1" t="s">
        <v>108</v>
      </c>
    </row>
    <row r="2" spans="1:9" ht="15" thickBot="1"/>
    <row r="3" spans="1:9">
      <c r="A3" s="6" t="s">
        <v>109</v>
      </c>
      <c r="B3" s="6"/>
    </row>
    <row r="4" spans="1:9">
      <c r="A4" t="s">
        <v>110</v>
      </c>
      <c r="B4">
        <v>0.85807070804410468</v>
      </c>
    </row>
    <row r="5" spans="1:9">
      <c r="A5" t="s">
        <v>111</v>
      </c>
      <c r="B5">
        <v>0.73628534000331114</v>
      </c>
    </row>
    <row r="6" spans="1:9">
      <c r="A6" t="s">
        <v>112</v>
      </c>
      <c r="B6">
        <v>0.73545604861967373</v>
      </c>
    </row>
    <row r="7" spans="1:9">
      <c r="A7" t="s">
        <v>113</v>
      </c>
      <c r="B7">
        <v>53373.736380790499</v>
      </c>
    </row>
    <row r="8" spans="1:9" ht="15" thickBot="1">
      <c r="A8" s="4" t="s">
        <v>114</v>
      </c>
      <c r="B8" s="4">
        <v>320</v>
      </c>
    </row>
    <row r="10" spans="1:9" ht="15" thickBot="1">
      <c r="A10" t="s">
        <v>115</v>
      </c>
    </row>
    <row r="11" spans="1:9">
      <c r="A11" s="5"/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</row>
    <row r="12" spans="1:9">
      <c r="A12" t="s">
        <v>116</v>
      </c>
      <c r="B12">
        <v>1</v>
      </c>
      <c r="C12">
        <v>2529264292982.4736</v>
      </c>
      <c r="D12">
        <v>2529264292982.4736</v>
      </c>
      <c r="E12">
        <v>887.84877611276033</v>
      </c>
      <c r="F12">
        <v>4.7503615090053331E-94</v>
      </c>
    </row>
    <row r="13" spans="1:9">
      <c r="A13" t="s">
        <v>117</v>
      </c>
      <c r="B13">
        <v>318</v>
      </c>
      <c r="C13">
        <v>905904323808.26587</v>
      </c>
      <c r="D13">
        <v>2848755735.246119</v>
      </c>
    </row>
    <row r="14" spans="1:9" ht="15" thickBot="1">
      <c r="A14" s="4" t="s">
        <v>118</v>
      </c>
      <c r="B14" s="4">
        <v>319</v>
      </c>
      <c r="C14" s="4">
        <v>3435168616790.7393</v>
      </c>
      <c r="D14" s="4"/>
      <c r="E14" s="4"/>
      <c r="F14" s="4"/>
    </row>
    <row r="15" spans="1:9" ht="15" thickBot="1"/>
    <row r="16" spans="1:9">
      <c r="A16" s="5"/>
      <c r="B16" s="5" t="s">
        <v>125</v>
      </c>
      <c r="C16" s="5" t="s">
        <v>113</v>
      </c>
      <c r="D16" s="5" t="s">
        <v>126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</row>
    <row r="17" spans="1:9">
      <c r="A17" t="s">
        <v>119</v>
      </c>
      <c r="B17">
        <v>446410.58293395344</v>
      </c>
      <c r="C17">
        <v>8407.7382630059928</v>
      </c>
      <c r="D17">
        <v>53.095204556754318</v>
      </c>
      <c r="E17">
        <v>4.0862695711507226E-160</v>
      </c>
      <c r="F17">
        <v>429868.76191129786</v>
      </c>
      <c r="G17">
        <v>462952.40395660902</v>
      </c>
      <c r="H17">
        <v>429868.76191129786</v>
      </c>
      <c r="I17">
        <v>462952.40395660902</v>
      </c>
    </row>
    <row r="18" spans="1:9" ht="15" thickBot="1">
      <c r="A18" s="4" t="s">
        <v>5</v>
      </c>
      <c r="B18" s="4">
        <v>35.678031072640458</v>
      </c>
      <c r="C18" s="4">
        <v>1.1973782890340821</v>
      </c>
      <c r="D18" s="4">
        <v>29.796791372776362</v>
      </c>
      <c r="E18" s="4">
        <v>4.7503615090054677E-94</v>
      </c>
      <c r="F18" s="4">
        <v>33.322246825554025</v>
      </c>
      <c r="G18" s="4">
        <v>38.033815319726891</v>
      </c>
      <c r="H18" s="4">
        <v>33.322246825554025</v>
      </c>
      <c r="I18" s="4">
        <v>38.033815319726891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7584-57EF-420E-B615-EFF902C3A0C9}">
  <dimension ref="A1:I18"/>
  <sheetViews>
    <sheetView workbookViewId="0">
      <selection sqref="A1:I21"/>
    </sheetView>
  </sheetViews>
  <sheetFormatPr defaultRowHeight="14.5"/>
  <sheetData>
    <row r="1" spans="1:9">
      <c r="A1" t="s">
        <v>108</v>
      </c>
    </row>
    <row r="2" spans="1:9" ht="15" thickBot="1"/>
    <row r="3" spans="1:9">
      <c r="A3" s="6" t="s">
        <v>109</v>
      </c>
      <c r="B3" s="6"/>
    </row>
    <row r="4" spans="1:9">
      <c r="A4" t="s">
        <v>110</v>
      </c>
      <c r="B4">
        <v>0.40895561021322352</v>
      </c>
    </row>
    <row r="5" spans="1:9">
      <c r="A5" t="s">
        <v>111</v>
      </c>
      <c r="B5">
        <v>0.16724469112487</v>
      </c>
    </row>
    <row r="6" spans="1:9">
      <c r="A6" t="s">
        <v>112</v>
      </c>
      <c r="B6">
        <v>0.16462596373847024</v>
      </c>
    </row>
    <row r="7" spans="1:9">
      <c r="A7" t="s">
        <v>113</v>
      </c>
      <c r="B7">
        <v>94846.03383215853</v>
      </c>
    </row>
    <row r="8" spans="1:9" ht="15" thickBot="1">
      <c r="A8" s="4" t="s">
        <v>114</v>
      </c>
      <c r="B8" s="4">
        <v>320</v>
      </c>
    </row>
    <row r="10" spans="1:9" ht="15" thickBot="1">
      <c r="A10" t="s">
        <v>115</v>
      </c>
    </row>
    <row r="11" spans="1:9">
      <c r="A11" s="5"/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</row>
    <row r="12" spans="1:9">
      <c r="A12" t="s">
        <v>116</v>
      </c>
      <c r="B12">
        <v>1</v>
      </c>
      <c r="C12">
        <v>574513714277.01416</v>
      </c>
      <c r="D12">
        <v>574513714277.01416</v>
      </c>
      <c r="E12">
        <v>63.864872683367629</v>
      </c>
      <c r="F12">
        <v>2.4800615101359619E-14</v>
      </c>
    </row>
    <row r="13" spans="1:9">
      <c r="A13" t="s">
        <v>117</v>
      </c>
      <c r="B13">
        <v>318</v>
      </c>
      <c r="C13">
        <v>2860654902513.7251</v>
      </c>
      <c r="D13">
        <v>8995770133.6909599</v>
      </c>
    </row>
    <row r="14" spans="1:9" ht="15" thickBot="1">
      <c r="A14" s="4" t="s">
        <v>118</v>
      </c>
      <c r="B14" s="4">
        <v>319</v>
      </c>
      <c r="C14" s="4">
        <v>3435168616790.7393</v>
      </c>
      <c r="D14" s="4"/>
      <c r="E14" s="4"/>
      <c r="F14" s="4"/>
    </row>
    <row r="15" spans="1:9" ht="15" thickBot="1"/>
    <row r="16" spans="1:9">
      <c r="A16" s="5"/>
      <c r="B16" s="5" t="s">
        <v>125</v>
      </c>
      <c r="C16" s="5" t="s">
        <v>113</v>
      </c>
      <c r="D16" s="5" t="s">
        <v>126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</row>
    <row r="17" spans="1:9">
      <c r="A17" t="s">
        <v>119</v>
      </c>
      <c r="B17">
        <v>560777.34544943704</v>
      </c>
      <c r="C17">
        <v>15906.905953068674</v>
      </c>
      <c r="D17">
        <v>35.253703460870398</v>
      </c>
      <c r="E17">
        <v>6.952876876284135E-112</v>
      </c>
      <c r="F17">
        <v>529481.27234763221</v>
      </c>
      <c r="G17">
        <v>592073.41855124186</v>
      </c>
      <c r="H17">
        <v>529481.27234763221</v>
      </c>
      <c r="I17">
        <v>592073.41855124186</v>
      </c>
    </row>
    <row r="18" spans="1:9" ht="15" thickBot="1">
      <c r="A18" s="4" t="s">
        <v>4</v>
      </c>
      <c r="B18" s="4">
        <v>2.1295753275898281</v>
      </c>
      <c r="C18" s="4">
        <v>0.26647838106932348</v>
      </c>
      <c r="D18" s="4">
        <v>7.991550080138869</v>
      </c>
      <c r="E18" s="4">
        <v>2.4800615101360068E-14</v>
      </c>
      <c r="F18" s="4">
        <v>1.6052919176921738</v>
      </c>
      <c r="G18" s="4">
        <v>2.6538587374874822</v>
      </c>
      <c r="H18" s="4">
        <v>1.6052919176921738</v>
      </c>
      <c r="I18" s="4">
        <v>2.6538587374874822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Original_Data</vt:lpstr>
      <vt:lpstr>Cleaned_Data</vt:lpstr>
      <vt:lpstr>Dummy Variables</vt:lpstr>
      <vt:lpstr>Multiple_Regression</vt:lpstr>
      <vt:lpstr>Simple_Reg_Footfall</vt:lpstr>
      <vt:lpstr>Simple_Reg_Marketing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rao</dc:creator>
  <cp:lastModifiedBy>satya rao</cp:lastModifiedBy>
  <dcterms:created xsi:type="dcterms:W3CDTF">2026-06-21T09:52:16Z</dcterms:created>
  <dcterms:modified xsi:type="dcterms:W3CDTF">2026-06-28T06:31:06Z</dcterms:modified>
</cp:coreProperties>
</file>